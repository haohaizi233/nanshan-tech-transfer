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fb07ee263e6443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29389124250e437c"/>
    <x:sheet xmlns:r="http://schemas.openxmlformats.org/officeDocument/2006/relationships" name="需求拆分" sheetId="2" r:id="R24710be64a3440e0"/>
    <x:sheet xmlns:r="http://schemas.openxmlformats.org/officeDocument/2006/relationships" name="6日排期" sheetId="3" r:id="Rc25fe597df1c4ab8"/>
    <x:sheet xmlns:r="http://schemas.openxmlformats.org/officeDocument/2006/relationships" name="P0 API" sheetId="4" r:id="R8433cc0096cc431c"/>
    <x:sheet xmlns:r="http://schemas.openxmlformats.org/officeDocument/2006/relationships" name="上线检查" sheetId="5" r:id="R09c63a4f15b8409c"/>
  </x:sheets>
</x:workbook>
</file>

<file path=xl/sharedStrings.xml><?xml version="1.0" encoding="utf-8"?>
<x:sst xmlns:x="http://schemas.openxmlformats.org/spreadsheetml/2006/main">
  <x:si>
    <x:t xml:space="preserve">南山科转通 — 6 个工作日上线执行总览</x:t>
  </x:si>
  <x:si>
    <x:t xml:space="preserve">指标</x:t>
  </x:si>
  <x:si>
    <x:t xml:space="preserve">值</x:t>
  </x:si>
  <x:si>
    <x:t xml:space="preserve">阶段</x:t>
  </x:si>
  <x:si>
    <x:t xml:space="preserve">日期</x:t>
  </x:si>
  <x:si>
    <x:t xml:space="preserve">核心目标</x:t>
  </x:si>
  <x:si>
    <x:t xml:space="preserve">Gate</x:t>
  </x:si>
  <x:si>
    <x:t xml:space="preserve">总任务数</x:t>
  </x:si>
  <x:si>
    <x:t xml:space="preserve">D1</x:t>
  </x:si>
  <x:si>
    <x:t xml:space="preserve">9/3 周四</x:t>
  </x:si>
  <x:si>
    <x:t xml:space="preserve">范围冻结 + FastAPI/后台/部署骨架</x:t>
  </x:si>
  <x:si>
    <x:t xml:space="preserve">FastAPI 可启动；API/SQL 不再大改；后台骨架可打开；部署资源缺口清晰</x:t>
  </x:si>
  <x:si>
    <x:t xml:space="preserve">P0 任务数</x:t>
  </x:si>
  <x:si>
    <x:t xml:space="preserve">D2</x:t>
  </x:si>
  <x:si>
    <x:t xml:space="preserve">9/4 周五</x:t>
  </x:si>
  <x:si>
    <x:t xml:space="preserve">三大核心资源纵向打通</x:t>
  </x:si>
  <x:si>
    <x:t xml:space="preserve">成果/需求/机构均实现 UI→FastAPI→SQL；后台可维护真实数据</x:t>
  </x:si>
  <x:si>
    <x:t xml:space="preserve">P1 任务数</x:t>
  </x:si>
  <x:si>
    <x:t xml:space="preserve">D3</x:t>
  </x:si>
  <x:si>
    <x:t xml:space="preserve">9/7 周一</x:t>
  </x:si>
  <x:si>
    <x:t xml:space="preserve">形成完整业务闭环</x:t>
  </x:si>
  <x:si>
    <x:t xml:space="preserve">用户提交→后台审核→用户端展示；发起对接→后台可处理</x:t>
  </x:si>
  <x:si>
    <x:t xml:space="preserve">已完成</x:t>
  </x:si>
  <x:si>
    <x:t xml:space="preserve">D4</x:t>
  </x:si>
  <x:si>
    <x:t xml:space="preserve">9/8 周二</x:t>
  </x:si>
  <x:si>
    <x:t xml:space="preserve">全量联调 + Production-like</x:t>
  </x:si>
  <x:si>
    <x:t xml:space="preserve">核心链路 Mock 清零；Staging 接近生产；AI 能联调或可降级</x:t>
  </x:si>
  <x:si>
    <x:t xml:space="preserve">进行中</x:t>
  </x:si>
  <x:si>
    <x:t xml:space="preserve">D5</x:t>
  </x:si>
  <x:si>
    <x:t xml:space="preserve">9/9 周三</x:t>
  </x:si>
  <x:si>
    <x:t xml:space="preserve">RC1 + Feature Freeze</x:t>
  </x:si>
  <x:si>
    <x:t xml:space="preserve">RC1 可完整演示；P0 Bug=0；发布流程演练通过</x:t>
  </x:si>
  <x:si>
    <x:t xml:space="preserve">阻塞</x:t>
  </x:si>
  <x:si>
    <x:t xml:space="preserve">D6</x:t>
  </x:si>
  <x:si>
    <x:t xml:space="preserve">9/10 周四</x:t>
  </x:si>
  <x:si>
    <x:t xml:space="preserve">正式上线/提审</x:t>
  </x:si>
  <x:si>
    <x:t xml:space="preserve">H5 正式可访问；后台可运营；FastAPI/SQL 正常；小程序可提审/已提审</x:t>
  </x:si>
  <x:si>
    <x:t xml:space="preserve">总预估工时</x:t>
  </x:si>
  <x:si>
    <x:t xml:space="preserve">本期明确延期（上线后再做）</x:t>
  </x:si>
  <x:si>
    <x:t xml:space="preserve">推荐算法</x:t>
  </x:si>
  <x:si>
    <x:t xml:space="preserve">个性化画像</x:t>
  </x:si>
  <x:si>
    <x:t xml:space="preserve">时间衰减/行为权重</x:t>
  </x:si>
  <x:si>
    <x:t xml:space="preserve">高级埋点</x:t>
  </x:si>
  <x:si>
    <x:t xml:space="preserve">Learning-to-Rank</x:t>
  </x:si>
  <x:si>
    <x:t xml:space="preserve">复杂 Dashboard</x:t>
  </x:si>
  <x:si>
    <x:t xml:space="preserve">微服务拆分</x:t>
  </x:si>
  <x:si>
    <x:t xml:space="preserve">先用精选/最新/热门</x:t>
  </x:si>
  <x:si>
    <x:t xml:space="preserve">上线后由数据驱动</x:t>
  </x:si>
  <x:si>
    <x:t xml:space="preserve">上线后和画像一起做</x:t>
  </x:si>
  <x:si>
    <x:t xml:space="preserve">上线后统一事件模型</x:t>
  </x:si>
  <x:si>
    <x:t xml:space="preserve">本期不做</x:t>
  </x:si>
  <x:si>
    <x:t xml:space="preserve">后台先可运营</x:t>
  </x:si>
  <x:si>
    <x:t xml:space="preserve">当前 Modular Monolith</x:t>
  </x:si>
  <x:si>
    <x:t xml:space="preserve">AI 由专人负责</x:t>
  </x:si>
  <x:si>
    <x:t xml:space="preserve">主工程只维护 Contract</x:t>
  </x:si>
  <x:si>
    <x:t xml:space="preserve">AI 失败必须可降级</x:t>
  </x:si>
  <x:si>
    <x:t xml:space="preserve">56</x:t>
  </x:si>
  <x:si>
    <x:t xml:space="preserve">非必要 UI 重构</x:t>
  </x:si>
  <x:si>
    <x:t xml:space="preserve">D4 后集成为主</x:t>
  </x:si>
  <x:si>
    <x:t xml:space="preserve">D5 Feature Freeze</x:t>
  </x:si>
  <x:si>
    <x:t xml:space="preserve">D6 禁止加功能</x:t>
  </x:si>
  <x:si>
    <x:t xml:space="preserve">P0 优先</x:t>
  </x:si>
  <x:si>
    <x:t xml:space="preserve">P1 可降级</x:t>
  </x:si>
  <x:si>
    <x:t xml:space="preserve">P2 延期</x:t>
  </x:si>
  <x:si>
    <x:t xml:space="preserve">只修影响使用的问题</x:t>
  </x:si>
  <x:si>
    <x:t xml:space="preserve">南山科转通 — 6 个工作日 MVP 小需求拆分</x:t>
  </x:si>
  <x:si>
    <x:t xml:space="preserve">ID</x:t>
  </x:si>
  <x:si>
    <x:t xml:space="preserve">模块</x:t>
  </x:si>
  <x:si>
    <x:t xml:space="preserve">小需求</x:t>
  </x:si>
  <x:si>
    <x:t xml:space="preserve">工作内容</x:t>
  </x:si>
  <x:si>
    <x:t xml:space="preserve">负责人</x:t>
  </x:si>
  <x:si>
    <x:t xml:space="preserve">优先级</x:t>
  </x:si>
  <x:si>
    <x:t xml:space="preserve">计划日</x:t>
  </x:si>
  <x:si>
    <x:t xml:space="preserve">前置依赖</x:t>
  </x:si>
  <x:si>
    <x:t xml:space="preserve">验收标准</x:t>
  </x:si>
  <x:si>
    <x:t xml:space="preserve">预估工时(h)</x:t>
  </x:si>
  <x:si>
    <x:t xml:space="preserve">状态</x:t>
  </x:si>
  <x:si>
    <x:t xml:space="preserve">T001</x:t>
  </x:si>
  <x:si>
    <x:t xml:space="preserve">范围/架构</x:t>
  </x:si>
  <x:si>
    <x:t xml:space="preserve">冻结 MVP 范围</x:t>
  </x:si>
  <x:si>
    <x:t xml:space="preserve">明确本期做/不做；推荐算法、用户画像、高级埋点延后</x:t>
  </x:si>
  <x:si>
    <x:t xml:space="preserve">史博焱</x:t>
  </x:si>
  <x:si>
    <x:t xml:space="preserve">P0</x:t>
  </x:si>
  <x:si>
    <x:t xml:space="preserve">无</x:t>
  </x:si>
  <x:si>
    <x:t xml:space="preserve">形成书面冻结清单，成员确认后不再新增 P2 功能</x:t>
  </x:si>
  <x:si>
    <x:t xml:space="preserve">T002</x:t>
  </x:si>
  <x:si>
    <x:t xml:space="preserve">冻结页面路由</x:t>
  </x:si>
  <x:si>
    <x:t xml:space="preserve">确认宿主模拟入口、Standalone 入口、业务分包公共入口和内部路由</x:t>
  </x:si>
  <x:si>
    <x:t xml:space="preserve">路由树固定；无重复“我的”；无死入口</x:t>
  </x:si>
  <x:si>
    <x:t xml:space="preserve">T003</x:t>
  </x:si>
  <x:si>
    <x:t xml:space="preserve">冻结 P0 API</x:t>
  </x:si>
  <x:si>
    <x:t xml:space="preserve">FastAPI P0 Operation 清单定版</x:t>
  </x:si>
  <x:si>
    <x:t xml:space="preserve">P0 接口名称/方法/请求响应字段明确</x:t>
  </x:si>
  <x:si>
    <x:t xml:space="preserve">T004</x:t>
  </x:si>
  <x:si>
    <x:t xml:space="preserve">冻结核心 SQL</x:t>
  </x:si>
  <x:si>
    <x:t xml:space="preserve">确认上线必需表及字段，非必要字段延后</x:t>
  </x:si>
  <x:si>
    <x:t xml:space="preserve">核心表可支撑用户端和后台 P0 业务</x:t>
  </x:si>
  <x:si>
    <x:t xml:space="preserve">T005</x:t>
  </x:si>
  <x:si>
    <x:t xml:space="preserve">FastAPI基础</x:t>
  </x:si>
  <x:si>
    <x:t xml:space="preserve">应用启动骨架</x:t>
  </x:si>
  <x:si>
    <x:t xml:space="preserve">整理 main.py、router 注册、生命周期与健康检查</x:t>
  </x:si>
  <x:si>
    <x:t xml:space="preserve">uvicorn 可启动，/health 返回 200</x:t>
  </x:si>
  <x:si>
    <x:t xml:space="preserve">T006</x:t>
  </x:si>
  <x:si>
    <x:t xml:space="preserve">统一配置</x:t>
  </x:si>
  <x:si>
    <x:t xml:space="preserve">development/staging/production 环境变量与配置入口</x:t>
  </x:si>
  <x:si>
    <x:t xml:space="preserve">API/DB/上传等不硬编码生产地址</x:t>
  </x:si>
  <x:si>
    <x:t xml:space="preserve">T007</x:t>
  </x:si>
  <x:si>
    <x:t xml:space="preserve">DB Session</x:t>
  </x:si>
  <x:si>
    <x:t xml:space="preserve">建立连接池、Session/事务边界</x:t>
  </x:si>
  <x:si>
    <x:t xml:space="preserve">T004,T005</x:t>
  </x:si>
  <x:si>
    <x:t xml:space="preserve">接口可稳定连接 SQL，异常时正确回滚</x:t>
  </x:si>
  <x:si>
    <x:t xml:space="preserve">T008</x:t>
  </x:si>
  <x:si>
    <x:t xml:space="preserve">统一响应/异常</x:t>
  </x:si>
  <x:si>
    <x:t xml:space="preserve">定义业务错误、HTTP 映射、统一异常处理</x:t>
  </x:si>
  <x:si>
    <x:t xml:space="preserve">P0 API 错误响应结构一致，无裸堆栈返回前端</x:t>
  </x:si>
  <x:si>
    <x:t xml:space="preserve">T041</x:t>
  </x:si>
  <x:si>
    <x:t xml:space="preserve">后台UI</x:t>
  </x:si>
  <x:si>
    <x:t xml:space="preserve">后台工程骨架</x:t>
  </x:si>
  <x:si>
    <x:t xml:space="preserve">登录页、布局、侧边栏、路由、ApiClient</x:t>
  </x:si>
  <x:si>
    <x:t xml:space="preserve">李任茂</x:t>
  </x:si>
  <x:si>
    <x:t xml:space="preserve">后台可启动并进入主框架</x:t>
  </x:si>
  <x:si>
    <x:t xml:space="preserve">T054</x:t>
  </x:si>
  <x:si>
    <x:t xml:space="preserve">AI集成</x:t>
  </x:si>
  <x:si>
    <x:t xml:space="preserve">AI Contract 对齐</x:t>
  </x:si>
  <x:si>
    <x:t xml:space="preserve">确认请求字段、taskId、状态、结果结构</x:t>
  </x:si>
  <x:si>
    <x:t xml:space="preserve">与 AI 负责人书面确认 Contract</x:t>
  </x:si>
  <x:si>
    <x:t xml:space="preserve">T058</x:t>
  </x:si>
  <x:si>
    <x:t xml:space="preserve">部署</x:t>
  </x:si>
  <x:si>
    <x:t xml:space="preserve">盘点部署资源</x:t>
  </x:si>
  <x:si>
    <x:r>
      <x:rPr>
        <x:sz val="11"/>
        <x:color theme="1"/>
        <x:rFont val="宋体"/>
      </x:rPr>
      <x:t xml:space="preserve">服务器、域名、数据库、证书、对象存储、</x:t>
    </x:r>
    <x:r>
      <x:rPr>
        <x:sz val="11"/>
        <x:color theme="1"/>
        <x:rFont val="Carlito"/>
      </x:rPr>
      <x:t xml:space="preserve">AppID</x:t>
    </x:r>
  </x:si>
  <x:si>
    <x:t xml:space="preserve">形成资源/账号/缺口清单</x:t>
  </x:si>
  <x:si>
    <x:t xml:space="preserve">T009</x:t>
  </x:si>
  <x:si>
    <x:t xml:space="preserve">鉴权上下文</x:t>
  </x:si>
  <x:si>
    <x:t xml:space="preserve">建立当前用户解析/依赖注入，兼容本地模拟身份</x:t>
  </x:si>
  <x:si>
    <x:t xml:space="preserve">D1-D2</x:t>
  </x:si>
  <x:si>
    <x:t xml:space="preserve">受保护接口可获取 current_user</x:t>
  </x:si>
  <x:si>
    <x:t xml:space="preserve">T010</x:t>
  </x:si>
  <x:si>
    <x:t xml:space="preserve">SQL</x:t>
  </x:si>
  <x:si>
    <x:t xml:space="preserve">Migration 基线</x:t>
  </x:si>
  <x:si>
    <x:t xml:space="preserve">建立/整理 Alembic migration 基线</x:t>
  </x:si>
  <x:si>
    <x:t xml:space="preserve">空库可一键迁移到当前版本</x:t>
  </x:si>
  <x:si>
    <x:t xml:space="preserve">T059</x:t>
  </x:si>
  <x:si>
    <x:t xml:space="preserve">Staging FastAPI</x:t>
  </x:si>
  <x:si>
    <x:t xml:space="preserve">部署测试后端，配置进程托管/重启</x:t>
  </x:si>
  <x:si>
    <x:t xml:space="preserve">T005,T058</x:t>
  </x:si>
  <x:si>
    <x:t xml:space="preserve">公网 HTTPS API 可访问 /health</x:t>
  </x:si>
  <x:si>
    <x:t xml:space="preserve">T011</x:t>
  </x:si>
  <x:si>
    <x:t xml:space="preserve">用户/身份表</x:t>
  </x:si>
  <x:si>
    <x:t xml:space="preserve">完善 app_user/local_user、external_identity</x:t>
  </x:si>
  <x:si>
    <x:t xml:space="preserve">唯一约束/索引合理，能映射外部身份</x:t>
  </x:si>
  <x:si>
    <x:t xml:space="preserve">T012</x:t>
  </x:si>
  <x:si>
    <x:t xml:space="preserve">成果表</x:t>
  </x:si>
  <x:si>
    <x:t xml:space="preserve">完善成果核心字段、状态、审核/上下架字段</x:t>
  </x:si>
  <x:si>
    <x:t xml:space="preserve">列表/详情/后台 CRUD 所需字段齐全</x:t>
  </x:si>
  <x:si>
    <x:t xml:space="preserve">T013</x:t>
  </x:si>
  <x:si>
    <x:t xml:space="preserve">需求表</x:t>
  </x:si>
  <x:si>
    <x:t xml:space="preserve">完善需求核心字段、状态、审核/上下架字段</x:t>
  </x:si>
  <x:si>
    <x:t xml:space="preserve">T014</x:t>
  </x:si>
  <x:si>
    <x:t xml:space="preserve">机构表</x:t>
  </x:si>
  <x:si>
    <x:t xml:space="preserve">统一 institution + type 模型</x:t>
  </x:si>
  <x:si>
    <x:t xml:space="preserve">银行/投资机构等无需分表即可展示</x:t>
  </x:si>
  <x:si>
    <x:t xml:space="preserve">T017</x:t>
  </x:si>
  <x:si>
    <x:t xml:space="preserve">用户端-成果</x:t>
  </x:si>
  <x:si>
    <x:t xml:space="preserve">成果列表 API</x:t>
  </x:si>
  <x:si>
    <x:t xml:space="preserve">GET /achievements，分页/筛选/排序</x:t>
  </x:si>
  <x:si>
    <x:t xml:space="preserve">T007,T012</x:t>
  </x:si>
  <x:si>
    <x:t xml:space="preserve">真实 SQL 返回，空数据/分页正常</x:t>
  </x:si>
  <x:si>
    <x:t xml:space="preserve">T018</x:t>
  </x:si>
  <x:si>
    <x:t xml:space="preserve">成果详情 API</x:t>
  </x:si>
  <x:si>
    <x:t xml:space="preserve">GET /achievements/{id}</x:t>
  </x:si>
  <x:si>
    <x:t xml:space="preserve">有效 id 返回详情；不存在返回 404 业务错误</x:t>
  </x:si>
  <x:si>
    <x:t xml:space="preserve">T021</x:t>
  </x:si>
  <x:si>
    <x:t xml:space="preserve">成果列表接真实 API</x:t>
  </x:si>
  <x:si>
    <x:t xml:space="preserve">移除列表 Mock，接 ApiClient</x:t>
  </x:si>
  <x:si>
    <x:t xml:space="preserve">H5/小程序列表真实展示数据库数据</x:t>
  </x:si>
  <x:si>
    <x:t xml:space="preserve">T022</x:t>
  </x:si>
  <x:si>
    <x:t xml:space="preserve">成果详情接真实 API</x:t>
  </x:si>
  <x:si>
    <x:t xml:space="preserve">详情页 Loading/Empty/Error/正常态</x:t>
  </x:si>
  <x:si>
    <x:t xml:space="preserve">详情页无静态假数据</x:t>
  </x:si>
  <x:si>
    <x:t xml:space="preserve">T023</x:t>
  </x:si>
  <x:si>
    <x:t xml:space="preserve">用户端-需求</x:t>
  </x:si>
  <x:si>
    <x:t xml:space="preserve">需求列表 API</x:t>
  </x:si>
  <x:si>
    <x:t xml:space="preserve">GET /demands</x:t>
  </x:si>
  <x:si>
    <x:t xml:space="preserve">T007,T013</x:t>
  </x:si>
  <x:si>
    <x:t xml:space="preserve">分页/筛选真实 SQL</x:t>
  </x:si>
  <x:si>
    <x:t xml:space="preserve">T024</x:t>
  </x:si>
  <x:si>
    <x:t xml:space="preserve">需求详情 API</x:t>
  </x:si>
  <x:si>
    <x:t xml:space="preserve">GET /demands/{id}</x:t>
  </x:si>
  <x:si>
    <x:t xml:space="preserve">详情与错误态正常</x:t>
  </x:si>
  <x:si>
    <x:t xml:space="preserve">T027</x:t>
  </x:si>
  <x:si>
    <x:t xml:space="preserve">需求列表接真实 API</x:t>
  </x:si>
  <x:si>
    <x:t xml:space="preserve">移除 Mock</x:t>
  </x:si>
  <x:si>
    <x:t xml:space="preserve">列表真实可用</x:t>
  </x:si>
  <x:si>
    <x:t xml:space="preserve">T028</x:t>
  </x:si>
  <x:si>
    <x:t xml:space="preserve">需求详情接真实 API</x:t>
  </x:si>
  <x:si>
    <x:t xml:space="preserve">详情状态完整</x:t>
  </x:si>
  <x:si>
    <x:t xml:space="preserve">详情真实可用</x:t>
  </x:si>
  <x:si>
    <x:t xml:space="preserve">T029</x:t>
  </x:si>
  <x:si>
    <x:t xml:space="preserve">用户端-机构</x:t>
  </x:si>
  <x:si>
    <x:t xml:space="preserve">机构列表 API</x:t>
  </x:si>
  <x:si>
    <x:t xml:space="preserve">GET /institutions?type=</x:t>
  </x:si>
  <x:si>
    <x:t xml:space="preserve">T007,T014</x:t>
  </x:si>
  <x:si>
    <x:t xml:space="preserve">银行/资本机构按 type 正常筛选</x:t>
  </x:si>
  <x:si>
    <x:t xml:space="preserve">T030</x:t>
  </x:si>
  <x:si>
    <x:t xml:space="preserve">机构详情 API</x:t>
  </x:si>
  <x:si>
    <x:t xml:space="preserve">GET /institutions/{id}</x:t>
  </x:si>
  <x:si>
    <x:t xml:space="preserve">T043</x:t>
  </x:si>
  <x:si>
    <x:t xml:space="preserve">后台-成果</x:t>
  </x:si>
  <x:si>
    <x:t xml:space="preserve">成果列表</x:t>
  </x:si>
  <x:si>
    <x:t xml:space="preserve">筛选、分页、审核状态、上下架状态</x:t>
  </x:si>
  <x:si>
    <x:t xml:space="preserve">T041,T012</x:t>
  </x:si>
  <x:si>
    <x:t xml:space="preserve">可查询真实数据</x:t>
  </x:si>
  <x:si>
    <x:t xml:space="preserve">T044</x:t>
  </x:si>
  <x:si>
    <x:t xml:space="preserve">成果新增/编辑</x:t>
  </x:si>
  <x:si>
    <x:t xml:space="preserve">表单和保存</x:t>
  </x:si>
  <x:si>
    <x:t xml:space="preserve">后台可维护成果</x:t>
  </x:si>
  <x:si>
    <x:t xml:space="preserve">T046</x:t>
  </x:si>
  <x:si>
    <x:t xml:space="preserve">后台-需求</x:t>
  </x:si>
  <x:si>
    <x:t xml:space="preserve">需求列表</x:t>
  </x:si>
  <x:si>
    <x:t xml:space="preserve">筛选、分页、状态</x:t>
  </x:si>
  <x:si>
    <x:t xml:space="preserve">T041,T013</x:t>
  </x:si>
  <x:si>
    <x:t xml:space="preserve">可查询真实需求</x:t>
  </x:si>
  <x:si>
    <x:t xml:space="preserve">T053</x:t>
  </x:si>
  <x:si>
    <x:t xml:space="preserve">后台-鉴权</x:t>
  </x:si>
  <x:si>
    <x:t xml:space="preserve">管理员登录</x:t>
  </x:si>
  <x:si>
    <x:t xml:space="preserve">最小管理员鉴权，不做复杂 RBAC</x:t>
  </x:si>
  <x:si>
    <x:t xml:space="preserve">未登录无法进入后台；登录可保持会话</x:t>
  </x:si>
  <x:si>
    <x:t xml:space="preserve">T060</x:t>
  </x:si>
  <x:si>
    <x:t xml:space="preserve">Staging H5</x:t>
  </x:si>
  <x:si>
    <x:t xml:space="preserve">H5 测试环境部署</x:t>
  </x:si>
  <x:si>
    <x:t xml:space="preserve">可通过测试 URL 访问，接口指向 Staging</x:t>
  </x:si>
  <x:si>
    <x:t xml:space="preserve">未开始</x:t>
  </x:si>
  <x:si>
    <x:t xml:space="preserve">T061</x:t>
  </x:si>
  <x:si>
    <x:t xml:space="preserve">数据库部署</x:t>
  </x:si>
  <x:si>
    <x:t xml:space="preserve">Staging/Production 数据库与账号权限</x:t>
  </x:si>
  <x:si>
    <x:t xml:space="preserve">T010,T058</x:t>
  </x:si>
  <x:si>
    <x:t xml:space="preserve">Migration 可执行，最小权限账户可连接</x:t>
  </x:si>
  <x:si>
    <x:t xml:space="preserve">T015</x:t>
  </x:si>
  <x:si>
    <x:t xml:space="preserve">对接表</x:t>
  </x:si>
  <x:si>
    <x:t xml:space="preserve">connection 申请、处理状态、备注字段</x:t>
  </x:si>
  <x:si>
    <x:t xml:space="preserve">D2-D3</x:t>
  </x:si>
  <x:si>
    <x:t xml:space="preserve">用户提交后后台可处理状态</x:t>
  </x:si>
  <x:si>
    <x:t xml:space="preserve">T019</x:t>
  </x:si>
  <x:si>
    <x:t xml:space="preserve">发布成果 API</x:t>
  </x:si>
  <x:si>
    <x:t xml:space="preserve">POST /achievements</x:t>
  </x:si>
  <x:si>
    <x:t xml:space="preserve">T009,T012</x:t>
  </x:si>
  <x:si>
    <x:t xml:space="preserve">写入真实 SQL，默认进入正确审核状态</x:t>
  </x:si>
  <x:si>
    <x:t xml:space="preserve">T031</x:t>
  </x:si>
  <x:si>
    <x:t xml:space="preserve">机构页面接真实 API</x:t>
  </x:si>
  <x:si>
    <x:t xml:space="preserve">列表和详情去 Mock</x:t>
  </x:si>
  <x:si>
    <x:t xml:space="preserve">T029,T030</x:t>
  </x:si>
  <x:si>
    <x:t xml:space="preserve">用户端真实展示机构数据</x:t>
  </x:si>
  <x:si>
    <x:t xml:space="preserve">T047</x:t>
  </x:si>
  <x:si>
    <x:t xml:space="preserve">需求新增/编辑</x:t>
  </x:si>
  <x:si>
    <x:t xml:space="preserve">后台维护需求</x:t>
  </x:si>
  <x:si>
    <x:t xml:space="preserve">保存后真实入库</x:t>
  </x:si>
  <x:si>
    <x:t xml:space="preserve">T049</x:t>
  </x:si>
  <x:si>
    <x:t xml:space="preserve">后台-机构</x:t>
  </x:si>
  <x:si>
    <x:t xml:space="preserve">机构列表/表单</x:t>
  </x:si>
  <x:si>
    <x:t xml:space="preserve">统一机构类型 CRUD</x:t>
  </x:si>
  <x:si>
    <x:t xml:space="preserve">T041,T014</x:t>
  </x:si>
  <x:si>
    <x:t xml:space="preserve">机构可新增编辑并在用户端显示</x:t>
  </x:si>
  <x:si>
    <x:t xml:space="preserve">T016</x:t>
  </x:si>
  <x:si>
    <x:t xml:space="preserve">收藏表</x:t>
  </x:si>
  <x:si>
    <x:t xml:space="preserve">favorite 唯一约束与资源类型</x:t>
  </x:si>
  <x:si>
    <x:t xml:space="preserve">P1</x:t>
  </x:si>
  <x:si>
    <x:t xml:space="preserve">重复收藏不会产生重复记录</x:t>
  </x:si>
  <x:si>
    <x:t xml:space="preserve">T020</x:t>
  </x:si>
  <x:si>
    <x:t xml:space="preserve">编辑成果 API</x:t>
  </x:si>
  <x:si>
    <x:t xml:space="preserve">PATCH /achievements/{id}</x:t>
  </x:si>
  <x:si>
    <x:t xml:space="preserve">仅本人/允许角色可编辑，字段校验正常</x:t>
  </x:si>
  <x:si>
    <x:t xml:space="preserve">T025</x:t>
  </x:si>
  <x:si>
    <x:t xml:space="preserve">发布需求 API</x:t>
  </x:si>
  <x:si>
    <x:t xml:space="preserve">POST /demands</x:t>
  </x:si>
  <x:si>
    <x:t xml:space="preserve">T009,T013</x:t>
  </x:si>
  <x:si>
    <x:t xml:space="preserve">用户可提交需求并进入审核</x:t>
  </x:si>
  <x:si>
    <x:t xml:space="preserve">T026</x:t>
  </x:si>
  <x:si>
    <x:t xml:space="preserve">编辑需求 API</x:t>
  </x:si>
  <x:si>
    <x:t xml:space="preserve">PATCH /demands/{id}</x:t>
  </x:si>
  <x:si>
    <x:t xml:space="preserve">权限和校验正常</x:t>
  </x:si>
  <x:si>
    <x:t xml:space="preserve">T032</x:t>
  </x:si>
  <x:si>
    <x:t xml:space="preserve">用户端-用户</x:t>
  </x:si>
  <x:si>
    <x:t xml:space="preserve">GET /users/me</x:t>
  </x:si>
  <x:si>
    <x:t xml:space="preserve">当前用户基础资料</x:t>
  </x:si>
  <x:si>
    <x:t xml:space="preserve">T009,T011</x:t>
  </x:si>
  <x:si>
    <x:t xml:space="preserve">本地模拟身份/正式身份边界均可返回用户</x:t>
  </x:si>
  <x:si>
    <x:t xml:space="preserve">T033</x:t>
  </x:si>
  <x:si>
    <x:t xml:space="preserve">PATCH /users/me</x:t>
  </x:si>
  <x:si>
    <x:t xml:space="preserve">完善个人资料</x:t>
  </x:si>
  <x:si>
    <x:t xml:space="preserve">资料更新持久化</x:t>
  </x:si>
  <x:si>
    <x:t xml:space="preserve">T034</x:t>
  </x:si>
  <x:si>
    <x:t xml:space="preserve">用户端-我的</x:t>
  </x:si>
  <x:si>
    <x:t xml:space="preserve">我的成果</x:t>
  </x:si>
  <x:si>
    <x:t xml:space="preserve">GET /users/me/achievements + 页面复用</x:t>
  </x:si>
  <x:si>
    <x:t xml:space="preserve">T017,T032</x:t>
  </x:si>
  <x:si>
    <x:t xml:space="preserve">只显示当前用户成果</x:t>
  </x:si>
  <x:si>
    <x:t xml:space="preserve">T035</x:t>
  </x:si>
  <x:si>
    <x:t xml:space="preserve">我的需求</x:t>
  </x:si>
  <x:si>
    <x:t xml:space="preserve">GET /users/me/demands + 页面复用</x:t>
  </x:si>
  <x:si>
    <x:t xml:space="preserve">T023,T032</x:t>
  </x:si>
  <x:si>
    <x:t xml:space="preserve">只显示当前用户需求</x:t>
  </x:si>
  <x:si>
    <x:t xml:space="preserve">T036</x:t>
  </x:si>
  <x:si>
    <x:t xml:space="preserve">用户端-收藏</x:t>
  </x:si>
  <x:si>
    <x:t xml:space="preserve">收藏 API</x:t>
  </x:si>
  <x:si>
    <x:t xml:space="preserve">POST/DELETE/GET favorites 最小闭环</x:t>
  </x:si>
  <x:si>
    <x:t xml:space="preserve">T009,T016</x:t>
  </x:si>
  <x:si>
    <x:t xml:space="preserve">收藏/取消收藏幂等，页面状态一致</x:t>
  </x:si>
  <x:si>
    <x:t xml:space="preserve">T037</x:t>
  </x:si>
  <x:si>
    <x:t xml:space="preserve">用户端-对接</x:t>
  </x:si>
  <x:si>
    <x:t xml:space="preserve">发起对接 API</x:t>
  </x:si>
  <x:si>
    <x:t xml:space="preserve">POST /connections</x:t>
  </x:si>
  <x:si>
    <x:t xml:space="preserve">T009,T015</x:t>
  </x:si>
  <x:si>
    <x:t xml:space="preserve">用户发起后数据库生成 pending 记录</x:t>
  </x:si>
  <x:si>
    <x:t xml:space="preserve">T038</x:t>
  </x:si>
  <x:si>
    <x:t xml:space="preserve">我的对接 API</x:t>
  </x:si>
  <x:si>
    <x:t xml:space="preserve">GET /users/me/connections</x:t>
  </x:si>
  <x:si>
    <x:t xml:space="preserve">当前用户可查看申请状态</x:t>
  </x:si>
  <x:si>
    <x:t xml:space="preserve">T039</x:t>
  </x:si>
  <x:si>
    <x:t xml:space="preserve">对接按钮接真实 API</x:t>
  </x:si>
  <x:si>
    <x:t xml:space="preserve">成果/需求/机构详情发起对接</x:t>
  </x:si>
  <x:si>
    <x:t xml:space="preserve">提交成功/失败提示准确，重复提交有处理</x:t>
  </x:si>
  <x:si>
    <x:t xml:space="preserve">T040</x:t>
  </x:si>
  <x:si>
    <x:t xml:space="preserve">首页</x:t>
  </x:si>
  <x:si>
    <x:t xml:space="preserve">精选/最新内容</x:t>
  </x:si>
  <x:si>
    <x:t xml:space="preserve">第一版使用后台精选+最新/热门简单排序，不做推荐算法</x:t>
  </x:si>
  <x:si>
    <x:t xml:space="preserve">T017,T023</x:t>
  </x:si>
  <x:si>
    <x:t xml:space="preserve">首页无算法依赖即可稳定展示</x:t>
  </x:si>
  <x:si>
    <x:t xml:space="preserve">T045</x:t>
  </x:si>
  <x:si>
    <x:t xml:space="preserve">成果审核/上下架</x:t>
  </x:si>
  <x:si>
    <x:t xml:space="preserve">审核通过/驳回/上下架</x:t>
  </x:si>
  <x:si>
    <x:t xml:space="preserve">状态修改后用户端展示符合规则</x:t>
  </x:si>
  <x:si>
    <x:t xml:space="preserve">T048</x:t>
  </x:si>
  <x:si>
    <x:t xml:space="preserve">需求审核/上下架</x:t>
  </x:si>
  <x:si>
    <x:t xml:space="preserve">审核状态流转</x:t>
  </x:si>
  <x:si>
    <x:t xml:space="preserve">用户发布→后台审核→用户端展示闭环</x:t>
  </x:si>
  <x:si>
    <x:t xml:space="preserve">T050</x:t>
  </x:si>
  <x:si>
    <x:t xml:space="preserve">后台-对接</x:t>
  </x:si>
  <x:si>
    <x:t xml:space="preserve">对接申请列表</x:t>
  </x:si>
  <x:si>
    <x:t xml:space="preserve">查看申请人、目标资源、状态</x:t>
  </x:si>
  <x:si>
    <x:t xml:space="preserve">T015,T041</x:t>
  </x:si>
  <x:si>
    <x:t xml:space="preserve">用户提交后后台立即可查</x:t>
  </x:si>
  <x:si>
    <x:t xml:space="preserve">T051</x:t>
  </x:si>
  <x:si>
    <x:t xml:space="preserve">对接状态处理</x:t>
  </x:si>
  <x:si>
    <x:t xml:space="preserve">pending→processing/completed/rejected</x:t>
  </x:si>
  <x:si>
    <x:t xml:space="preserve">状态可修改并持久化</x:t>
  </x:si>
  <x:si>
    <x:t xml:space="preserve">T042</x:t>
  </x:si>
  <x:si>
    <x:t xml:space="preserve">Dashboard 极简页</x:t>
  </x:si>
  <x:si>
    <x:t xml:space="preserve">成果/需求/用户/对接统计卡片</x:t>
  </x:si>
  <x:si>
    <x:t xml:space="preserve">P2</x:t>
  </x:si>
  <x:si>
    <x:t xml:space="preserve">D3-D4</x:t>
  </x:si>
  <x:si>
    <x:t xml:space="preserve">只做统计卡，不做复杂图表</x:t>
  </x:si>
  <x:si>
    <x:t xml:space="preserve">T052</x:t>
  </x:si>
  <x:si>
    <x:t xml:space="preserve">后台-用户</x:t>
  </x:si>
  <x:si>
    <x:t xml:space="preserve">用户列表/详情</x:t>
  </x:si>
  <x:si>
    <x:t xml:space="preserve">只读基础资料和状态</x:t>
  </x:si>
  <x:si>
    <x:t xml:space="preserve">T011,T041</x:t>
  </x:si>
  <x:si>
    <x:t xml:space="preserve">后台可检索用户</x:t>
  </x:si>
  <x:si>
    <x:t xml:space="preserve">T062</x:t>
  </x:si>
  <x:si>
    <x:t xml:space="preserve">Nginx/HTTPS</x:t>
  </x:si>
  <x:si>
    <x:t xml:space="preserve">反向代理、证书、静态资源</x:t>
  </x:si>
  <x:si>
    <x:t xml:space="preserve">T059,T060</x:t>
  </x:si>
  <x:si>
    <x:t xml:space="preserve">HTTPS 无混合内容/证书错误</x:t>
  </x:si>
  <x:si>
    <x:t xml:space="preserve">T072</x:t>
  </x:si>
  <x:si>
    <x:t xml:space="preserve">联调</x:t>
  </x:si>
  <x:si>
    <x:t xml:space="preserve">用户发布→后台审核闭环</x:t>
  </x:si>
  <x:si>
    <x:t xml:space="preserve">需求/成果至少一条完整闭环</x:t>
  </x:si>
  <x:si>
    <x:t xml:space="preserve">T025,T045,T048</x:t>
  </x:si>
  <x:si>
    <x:t xml:space="preserve">真实操作能从用户端流转到后台再回用户端</x:t>
  </x:si>
  <x:si>
    <x:t xml:space="preserve">T055</x:t>
  </x:si>
  <x:si>
    <x:t xml:space="preserve">创建匹配任务接口</x:t>
  </x:si>
  <x:si>
    <x:t xml:space="preserve">POST /ai/match-tasks 对接 AI Owner</x:t>
  </x:si>
  <x:si>
    <x:t xml:space="preserve">可真实创建任务或明确返回服务不可用</x:t>
  </x:si>
  <x:si>
    <x:t xml:space="preserve">T056</x:t>
  </x:si>
  <x:si>
    <x:t xml:space="preserve">查询任务接口</x:t>
  </x:si>
  <x:si>
    <x:t xml:space="preserve">GET /ai/match-tasks/{taskId}</x:t>
  </x:si>
  <x:si>
    <x:t xml:space="preserve">queued/running/succeeded/failed 状态完整</x:t>
  </x:si>
  <x:si>
    <x:t xml:space="preserve">T057</x:t>
  </x:si>
  <x:si>
    <x:t xml:space="preserve">AI 页面联调</x:t>
  </x:si>
  <x:si>
    <x:t xml:space="preserve">前端任务页/结果页接真实接口</x:t>
  </x:si>
  <x:si>
    <x:t xml:space="preserve">无随机假结果；失败可提示</x:t>
  </x:si>
  <x:si>
    <x:t xml:space="preserve">T063</x:t>
  </x:si>
  <x:si>
    <x:t xml:space="preserve">CORS/合法域名</x:t>
  </x:si>
  <x:si>
    <x:t xml:space="preserve">H5 CORS、小程序 request/upload/download 域名</x:t>
  </x:si>
  <x:si>
    <x:t xml:space="preserve">H5 和小程序网络请求不被策略拦截</x:t>
  </x:si>
  <x:si>
    <x:t xml:space="preserve">T064</x:t>
  </x:si>
  <x:si>
    <x:t xml:space="preserve">Production 配置</x:t>
  </x:si>
  <x:si>
    <x:t xml:space="preserve">生产 env、密钥、日志、上传配置</x:t>
  </x:si>
  <x:si>
    <x:t xml:space="preserve">T006,T061</x:t>
  </x:si>
  <x:si>
    <x:t xml:space="preserve">生产敏感配置不进代码库</x:t>
  </x:si>
  <x:si>
    <x:t xml:space="preserve">T065</x:t>
  </x:si>
  <x:si>
    <x:t xml:space="preserve">日志与健康检查</x:t>
  </x:si>
  <x:si>
    <x:t xml:space="preserve">FastAPI access/error 日志，基础健康检查</x:t>
  </x:si>
  <x:si>
    <x:t xml:space="preserve">线上异常可定位，/health 可监测</x:t>
  </x:si>
  <x:si>
    <x:t xml:space="preserve">T071</x:t>
  </x:si>
  <x:si>
    <x:t xml:space="preserve">Mock 清零扫描</x:t>
  </x:si>
  <x:si>
    <x:t xml:space="preserve">正式链路移除静态假数据、hardcoded user/token/url</x:t>
  </x:si>
  <x:si>
    <x:t xml:space="preserve">T021,T027,T031</x:t>
  </x:si>
  <x:si>
    <x:t xml:space="preserve">Production/H5 核心链路无假数据</x:t>
  </x:si>
  <x:si>
    <x:t xml:space="preserve">T073</x:t>
  </x:si>
  <x:si>
    <x:t xml:space="preserve">对接闭环</x:t>
  </x:si>
  <x:si>
    <x:t xml:space="preserve">用户发起→后台处理→用户查看状态</x:t>
  </x:si>
  <x:si>
    <x:t xml:space="preserve">T039,T051</x:t>
  </x:si>
  <x:si>
    <x:t xml:space="preserve">状态两端一致</x:t>
  </x:si>
  <x:si>
    <x:t xml:space="preserve">T068</x:t>
  </x:si>
  <x:si>
    <x:t xml:space="preserve">小程序上线</x:t>
  </x:si>
  <x:si>
    <x:t xml:space="preserve">开发者工具构建</x:t>
  </x:si>
  <x:si>
    <x:t xml:space="preserve">检查分包、路由、包体、环境配置</x:t>
  </x:si>
  <x:si>
    <x:t xml:space="preserve">D4-D5</x:t>
  </x:si>
  <x:si>
    <x:t xml:space="preserve">无编译错误；体验版可打开核心页面</x:t>
  </x:si>
  <x:si>
    <x:t xml:space="preserve">T069</x:t>
  </x:si>
  <x:si>
    <x:t xml:space="preserve">隐私/权限/类目检查</x:t>
  </x:si>
  <x:si>
    <x:t xml:space="preserve">隐私保护指引、权限声明、类目、服务内容</x:t>
  </x:si>
  <x:si>
    <x:t xml:space="preserve">提审必填项无缺失</x:t>
  </x:si>
  <x:si>
    <x:t xml:space="preserve">T074</x:t>
  </x:si>
  <x:si>
    <x:t xml:space="preserve">测试</x:t>
  </x:si>
  <x:si>
    <x:t xml:space="preserve">空态/错误态</x:t>
  </x:si>
  <x:si>
    <x:t xml:space="preserve">无数据、404、401、500、网络失败处理</x:t>
  </x:si>
  <x:si>
    <x:t xml:space="preserve">核心页面不白屏，错误信息可理解</x:t>
  </x:si>
  <x:si>
    <x:t xml:space="preserve">T066</x:t>
  </x:si>
  <x:si>
    <x:t xml:space="preserve">备份与回滚</x:t>
  </x:si>
  <x:si>
    <x:t xml:space="preserve">DB 备份、发布前备份、回滚步骤</x:t>
  </x:si>
  <x:si>
    <x:t xml:space="preserve">能说明并演练回滚到上一版本</x:t>
  </x:si>
  <x:si>
    <x:t xml:space="preserve">T067</x:t>
  </x:si>
  <x:si>
    <x:t xml:space="preserve">正式部署演练</x:t>
  </x:si>
  <x:si>
    <x:t xml:space="preserve">按正式步骤跑一次 Staging 发布</x:t>
  </x:si>
  <x:si>
    <x:t xml:space="preserve">T062,T064,T066</x:t>
  </x:si>
  <x:si>
    <x:t xml:space="preserve">从 build 到 migration 到 smoke test 全流程通过</x:t>
  </x:si>
  <x:si>
    <x:t xml:space="preserve">T070</x:t>
  </x:si>
  <x:si>
    <x:t xml:space="preserve">体验版真机测试</x:t>
  </x:si>
  <x:si>
    <x:t xml:space="preserve">至少两台设备跑核心链路</x:t>
  </x:si>
  <x:si>
    <x:t xml:space="preserve">T068,T063</x:t>
  </x:si>
  <x:si>
    <x:t xml:space="preserve">无白屏/死路由/网络拦截</x:t>
  </x:si>
  <x:si>
    <x:t xml:space="preserve">T075</x:t>
  </x:si>
  <x:si>
    <x:t xml:space="preserve">RC1 全流程测试</x:t>
  </x:si>
  <x:si>
    <x:t xml:space="preserve">按验收路径做一次完整回归</x:t>
  </x:si>
  <x:si>
    <x:t xml:space="preserve">T067,T071,T072,T073</x:t>
  </x:si>
  <x:si>
    <x:t xml:space="preserve">无 P0 Bug；P1 有明确处理结论</x:t>
  </x:si>
  <x:si>
    <x:t xml:space="preserve">T076</x:t>
  </x:si>
  <x:si>
    <x:t xml:space="preserve">Bug 清零</x:t>
  </x:si>
  <x:si>
    <x:t xml:space="preserve">只修 P0/P1，不新增功能</x:t>
  </x:si>
  <x:si>
    <x:t xml:space="preserve">D5-D6</x:t>
  </x:si>
  <x:si>
    <x:t xml:space="preserve">P0=0，关键 P1=0 或有可接受降级</x:t>
  </x:si>
  <x:si>
    <x:t xml:space="preserve">T077</x:t>
  </x:si>
  <x:si>
    <x:t xml:space="preserve">发布</x:t>
  </x:si>
  <x:si>
    <x:t xml:space="preserve">代码冻结</x:t>
  </x:si>
  <x:si>
    <x:t xml:space="preserve">停止新功能/API/SQL 大改</x:t>
  </x:si>
  <x:si>
    <x:t xml:space="preserve">D5晚</x:t>
  </x:si>
  <x:si>
    <x:t xml:space="preserve">只允许 release bugfix</x:t>
  </x:si>
  <x:si>
    <x:t xml:space="preserve">T078</x:t>
  </x:si>
  <x:si>
    <x:t xml:space="preserve">Production Migration</x:t>
  </x:si>
  <x:si>
    <x:t xml:space="preserve">正式库备份后执行 migration</x:t>
  </x:si>
  <x:si>
    <x:t xml:space="preserve">T066,T077</x:t>
  </x:si>
  <x:si>
    <x:t xml:space="preserve">migration 成功且数据校验通过</x:t>
  </x:si>
  <x:si>
    <x:t xml:space="preserve">T079</x:t>
  </x:si>
  <x:si>
    <x:t xml:space="preserve">Production FastAPI</x:t>
  </x:si>
  <x:si>
    <x:t xml:space="preserve">发布正式后端</x:t>
  </x:si>
  <x:si>
    <x:t xml:space="preserve">/health、P0 API smoke pass</x:t>
  </x:si>
  <x:si>
    <x:t xml:space="preserve">T080</x:t>
  </x:si>
  <x:si>
    <x:t xml:space="preserve">Production H5</x:t>
  </x:si>
  <x:si>
    <x:t xml:space="preserve">发布正式 H5</x:t>
  </x:si>
  <x:si>
    <x:t xml:space="preserve">正式 URL 可访问，API/静态资源正常</x:t>
  </x:si>
  <x:si>
    <x:t xml:space="preserve">T081</x:t>
  </x:si>
  <x:si>
    <x:t xml:space="preserve">上线 Smoke Test</x:t>
  </x:si>
  <x:si>
    <x:t xml:space="preserve">首页→列表→详情→提交→后台→审核→对接</x:t>
  </x:si>
  <x:si>
    <x:t xml:space="preserve">T079,T080</x:t>
  </x:si>
  <x:si>
    <x:t xml:space="preserve">正式环境核心闭环通过</x:t>
  </x:si>
  <x:si>
    <x:t xml:space="preserve">T082</x:t>
  </x:si>
  <x:si>
    <x:t xml:space="preserve">小程序上传/提审</x:t>
  </x:si>
  <x:si>
    <x:t xml:space="preserve">上传最终版本并完成提审信息</x:t>
  </x:si>
  <x:si>
    <x:t xml:space="preserve">T069,T070,T081</x:t>
  </x:si>
  <x:si>
    <x:t xml:space="preserve">版本已提交或具备立即提交条件</x:t>
  </x:si>
  <x:si>
    <x:t xml:space="preserve">T083</x:t>
  </x:si>
  <x:si>
    <x:t xml:space="preserve">上线观察</x:t>
  </x:si>
  <x:si>
    <x:t xml:space="preserve">检查错误日志、数据库、关键接口</x:t>
  </x:si>
  <x:si>
    <x:t xml:space="preserve">D6晚</x:t>
  </x:si>
  <x:si>
    <x:t xml:space="preserve">无持续 5xx/连接异常</x:t>
  </x:si>
  <x:si>
    <x:t xml:space="preserve">南山科转通 — 6 日发布排期</x:t>
  </x:si>
  <x:si>
    <x:t xml:space="preserve">主题</x:t>
  </x:si>
  <x:si>
    <x:t xml:space="preserve">你</x:t>
  </x:si>
  <x:si>
    <x:t xml:space="preserve">协作者</x:t>
  </x:si>
  <x:si>
    <x:t xml:space="preserve">当日 Release Gate</x:t>
  </x:si>
  <x:si>
    <x:t xml:space="preserve">冻结 MVP/路由/P0 API/核心 SQL；FastAPI 启动、配置、DB、异常；确认 AI Contract</x:t>
  </x:si>
  <x:si>
    <x:t xml:space="preserve">部署资源盘点；后台骨架；Staging 后端准备</x:t>
  </x:si>
  <x:si>
    <x:t xml:space="preserve">成果/需求/机构 P0 API + 用户端列表详情真实联调</x:t>
  </x:si>
  <x:si>
    <x:t xml:space="preserve">核心 SQL migration；后台成果/需求/机构 CRUD；Staging H5/API</x:t>
  </x:si>
  <x:si>
    <x:t xml:space="preserve">用户/我的；发布需求/成果；对接；首页精选；P1 收藏视时间</x:t>
  </x:si>
  <x:si>
    <x:t xml:space="preserve">后台审核/上下架/对接处理/用户查看；数据库与后台补齐</x:t>
  </x:si>
  <x:si>
    <x:t xml:space="preserve">清核心 Mock；Auth；AI 接口；异常/空态；小程序构建检查</x:t>
  </x:si>
  <x:si>
    <x:t xml:space="preserve">Nginx/HTTPS/CORS/合法域名/生产配置/日志；部署接近正式</x:t>
  </x:si>
  <x:si>
    <x:t xml:space="preserve">完整回归、真机测试、修 P0/P1；晚上代码冻结</x:t>
  </x:si>
  <x:si>
    <x:t xml:space="preserve">正式部署演练、DB 备份回滚、小程序提审材料</x:t>
  </x:si>
  <x:si>
    <x:t xml:space="preserve">RC2；最终业务验收；Smoke Test；小程序上传/提审</x:t>
  </x:si>
  <x:si>
    <x:t xml:space="preserve">正式 migration、FastAPI/H5 发布、日志观察、回滚待命</x:t>
  </x:si>
  <x:si>
    <x:t xml:space="preserve">P0/P1 API 收口清单（FastAPI）</x:t>
  </x:si>
  <x:si>
    <x:t xml:space="preserve">领域</x:t>
  </x:si>
  <x:si>
    <x:t xml:space="preserve">Method</x:t>
  </x:si>
  <x:si>
    <x:t xml:space="preserve">Route</x:t>
  </x:si>
  <x:si>
    <x:t xml:space="preserve">用途</x:t>
  </x:si>
  <x:si>
    <x:t xml:space="preserve">Auth</x:t>
  </x:si>
  <x:si>
    <x:t xml:space="preserve">POST</x:t>
  </x:si>
  <x:si>
    <x:t xml:space="preserve">/api/tech-transfer/v1/auth/session</x:t>
  </x:si>
  <x:si>
    <x:t xml:space="preserve">建立会话/本地模拟身份</x:t>
  </x:si>
  <x:si>
    <x:t xml:space="preserve">DELETE</x:t>
  </x:si>
  <x:si>
    <x:t xml:space="preserve">退出会话</x:t>
  </x:si>
  <x:si>
    <x:t xml:space="preserve">Users</x:t>
  </x:si>
  <x:si>
    <x:t xml:space="preserve">GET</x:t>
  </x:si>
  <x:si>
    <x:t xml:space="preserve">/api/tech-transfer/v1/users/me</x:t>
  </x:si>
  <x:si>
    <x:t xml:space="preserve">当前用户资料</x:t>
  </x:si>
  <x:si>
    <x:t xml:space="preserve">PATCH</x:t>
  </x:si>
  <x:si>
    <x:t xml:space="preserve">更新个人资料</x:t>
  </x:si>
  <x:si>
    <x:t xml:space="preserve">Achievements</x:t>
  </x:si>
  <x:si>
    <x:t xml:space="preserve">/api/tech-transfer/v1/achievements</x:t>
  </x:si>
  <x:si>
    <x:t xml:space="preserve">/api/tech-transfer/v1/achievements/{id}</x:t>
  </x:si>
  <x:si>
    <x:t xml:space="preserve">成果详情</x:t>
  </x:si>
  <x:si>
    <x:t xml:space="preserve">发布成果</x:t>
  </x:si>
  <x:si>
    <x:t xml:space="preserve">编辑成果</x:t>
  </x:si>
  <x:si>
    <x:t xml:space="preserve">/api/tech-transfer/v1/users/me/achievements</x:t>
  </x:si>
  <x:si>
    <x:t xml:space="preserve">Demands</x:t>
  </x:si>
  <x:si>
    <x:t xml:space="preserve">/api/tech-transfer/v1/demands</x:t>
  </x:si>
  <x:si>
    <x:t xml:space="preserve">/api/tech-transfer/v1/demands/{id}</x:t>
  </x:si>
  <x:si>
    <x:t xml:space="preserve">需求详情</x:t>
  </x:si>
  <x:si>
    <x:t xml:space="preserve">发布需求</x:t>
  </x:si>
  <x:si>
    <x:t xml:space="preserve">编辑需求</x:t>
  </x:si>
  <x:si>
    <x:t xml:space="preserve">/api/tech-transfer/v1/users/me/demands</x:t>
  </x:si>
  <x:si>
    <x:t xml:space="preserve">Institutions</x:t>
  </x:si>
  <x:si>
    <x:t xml:space="preserve">/api/tech-transfer/v1/institutions</x:t>
  </x:si>
  <x:si>
    <x:t xml:space="preserve">机构列表，type 区分类型</x:t>
  </x:si>
  <x:si>
    <x:t xml:space="preserve">/api/tech-transfer/v1/institutions/{id}</x:t>
  </x:si>
  <x:si>
    <x:t xml:space="preserve">机构详情</x:t>
  </x:si>
  <x:si>
    <x:t xml:space="preserve">Connections</x:t>
  </x:si>
  <x:si>
    <x:t xml:space="preserve">/api/tech-transfer/v1/connections</x:t>
  </x:si>
  <x:si>
    <x:t xml:space="preserve">发起业务对接</x:t>
  </x:si>
  <x:si>
    <x:t xml:space="preserve">/api/tech-transfer/v1/users/me/connections</x:t>
  </x:si>
  <x:si>
    <x:t xml:space="preserve">我的对接</x:t>
  </x:si>
  <x:si>
    <x:t xml:space="preserve">Favorites</x:t>
  </x:si>
  <x:si>
    <x:t xml:space="preserve">/api/tech-transfer/v1/favorites</x:t>
  </x:si>
  <x:si>
    <x:t xml:space="preserve">我的收藏</x:t>
  </x:si>
  <x:si>
    <x:t xml:space="preserve">收藏</x:t>
  </x:si>
  <x:si>
    <x:t xml:space="preserve">/api/tech-transfer/v1/favorites/{id}</x:t>
  </x:si>
  <x:si>
    <x:t xml:space="preserve">取消收藏</x:t>
  </x:si>
  <x:si>
    <x:t xml:space="preserve">AI</x:t>
  </x:si>
  <x:si>
    <x:t xml:space="preserve">/api/tech-transfer/v1/ai/match-tasks</x:t>
  </x:si>
  <x:si>
    <x:t xml:space="preserve">创建 AI 匹配任务</x:t>
  </x:si>
  <x:si>
    <x:t xml:space="preserve">/api/tech-transfer/v1/ai/match-tasks/{taskId}</x:t>
  </x:si>
  <x:si>
    <x:t xml:space="preserve">查询 AI 匹配任务</x:t>
  </x:si>
  <x:si>
    <x:t xml:space="preserve">Admin</x:t>
  </x:si>
  <x:si>
    <x:t xml:space="preserve">/api/tech-transfer/v1/admin/auth/session</x:t>
  </x:si>
  <x:si>
    <x:t xml:space="preserve">GET/POST/PATCH</x:t>
  </x:si>
  <x:si>
    <x:t xml:space="preserve">/api/tech-transfer/v1/admin/achievements/...</x:t>
  </x:si>
  <x:si>
    <x:t xml:space="preserve">成果管理/审核/上下架</x:t>
  </x:si>
  <x:si>
    <x:t xml:space="preserve">/api/tech-transfer/v1/admin/demands/...</x:t>
  </x:si>
  <x:si>
    <x:t xml:space="preserve">需求管理/审核/上下架</x:t>
  </x:si>
  <x:si>
    <x:t xml:space="preserve">/api/tech-transfer/v1/admin/institutions/...</x:t>
  </x:si>
  <x:si>
    <x:t xml:space="preserve">机构管理</x:t>
  </x:si>
  <x:si>
    <x:t xml:space="preserve">GET/PATCH</x:t>
  </x:si>
  <x:si>
    <x:t xml:space="preserve">/api/tech-transfer/v1/admin/connections/...</x:t>
  </x:si>
  <x:si>
    <x:t xml:space="preserve">对接查看/处理</x:t>
  </x:si>
  <x:si>
    <x:t xml:space="preserve">/api/tech-transfer/v1/admin/users/...</x:t>
  </x:si>
  <x:si>
    <x:t xml:space="preserve">用户查看</x:t>
  </x:si>
  <x:si>
    <x:t xml:space="preserve">上线检查清单</x:t>
  </x:si>
  <x:si>
    <x:t xml:space="preserve">分类</x:t>
  </x:si>
  <x:si>
    <x:t xml:space="preserve">检查项</x:t>
  </x:si>
  <x:si>
    <x:t xml:space="preserve">最晚完成</x:t>
  </x:si>
  <x:si>
    <x:t xml:space="preserve">代码</x:t>
  </x:si>
  <x:si>
    <x:t xml:space="preserve">Production 不含核心 Mock/随机假结果/固定 userId/token</x:t>
  </x:si>
  <x:si>
    <x:t xml:space="preserve">Feature Freeze 后只允许修复 P0/P1 Bug</x:t>
  </x:si>
  <x:si>
    <x:t xml:space="preserve">FastAPI</x:t>
  </x:si>
  <x:si>
    <x:t xml:space="preserve">/health 正常；服务异常可自动重启</x:t>
  </x:si>
  <x:si>
    <x:t xml:space="preserve">D4-D6</x:t>
  </x:si>
  <x:si>
    <x:t xml:space="preserve">统一异常响应，不向客户端暴露堆栈/密钥</x:t>
  </x:si>
  <x:si>
    <x:t xml:space="preserve">数据库</x:t>
  </x:si>
  <x:si>
    <x:t xml:space="preserve">Migration 可从空库执行成功</x:t>
  </x:si>
  <x:si>
    <x:t xml:space="preserve">D2-D5</x:t>
  </x:si>
  <x:si>
    <x:t xml:space="preserve">正式发布前完成数据库备份</x:t>
  </x:si>
  <x:si>
    <x:t xml:space="preserve">准备并验证回滚步骤</x:t>
  </x:si>
  <x:si>
    <x:t xml:space="preserve">H5</x:t>
  </x:si>
  <x:si>
    <x:t xml:space="preserve">正式 HTTPS URL 可访问</x:t>
  </x:si>
  <x:si>
    <x:t xml:space="preserve">CORS、API Base URL、静态资源无错误</x:t>
  </x:si>
  <x:si>
    <x:t xml:space="preserve">小程序</x:t>
  </x:si>
  <x:si>
    <x:t xml:space="preserve">微信开发者工具构建通过</x:t>
  </x:si>
  <x:si>
    <x:t xml:space="preserve">分包路由/入口无死链</x:t>
  </x:si>
  <x:si>
    <x:t xml:space="preserve">request/upload/download 合法域名已配置</x:t>
  </x:si>
  <x:si>
    <x:t xml:space="preserve">隐私保护指引/权限/类目/版本信息准备完成</x:t>
  </x:si>
  <x:si>
    <x:t xml:space="preserve">至少一次体验版真机完整 Smoke Test</x:t>
  </x:si>
  <x:si>
    <x:t xml:space="preserve">业务</x:t>
  </x:si>
  <x:si>
    <x:t xml:space="preserve">成果列表→详情真实链路通过</x:t>
  </x:si>
  <x:si>
    <x:t xml:space="preserve">D2-D6</x:t>
  </x:si>
  <x:si>
    <x:t xml:space="preserve">需求列表→详情真实链路通过</x:t>
  </x:si>
  <x:si>
    <x:t xml:space="preserve">机构列表→详情真实链路通过</x:t>
  </x:si>
  <x:si>
    <x:t xml:space="preserve">用户提交→后台审核→用户端可见</x:t>
  </x:si>
  <x:si>
    <x:t xml:space="preserve">D3-D6</x:t>
  </x:si>
  <x:si>
    <x:t xml:space="preserve">发起对接→后台处理→用户端状态一致</x:t>
  </x:si>
  <x:si>
    <x:t xml:space="preserve">后台</x:t>
  </x:si>
  <x:si>
    <x:t xml:space="preserve">管理员登录有效</x:t>
  </x:si>
  <x:si>
    <x:t xml:space="preserve">成果/需求/机构可维护</x:t>
  </x:si>
  <x:si>
    <x:t xml:space="preserve">审核/上下架状态影响用户端展示</x:t>
  </x:si>
  <x:si>
    <x:t xml:space="preserve">对接申请可查看并处理</x:t>
  </x:si>
  <x:si>
    <x:t xml:space="preserve">AI Contract 已和负责人确认</x:t>
  </x:si>
  <x:si>
    <x:t xml:space="preserve">AI 不可用时主系统不会崩溃，能明确降级</x:t>
  </x:si>
  <x:si>
    <x:t xml:space="preserve">正式 FastAPI/H5 发布后 Smoke Test 通过</x:t>
  </x:si>
  <x:si>
    <x:t xml:space="preserve">线上日志无持续 5xx/DB 连接异常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</x:si>
</x:sst>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7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sz val="11"/>
      <x:color theme="1"/>
      <x:name val="宋体"/>
    </x:font>
    <x:font>
      <x:b/>
      <x:sz val="11"/>
      <x:color rgb="FF385723"/>
      <x:name val="Carlito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  <x:font>
      <x:sz val="11"/>
      <x:color theme="1"/>
      <x:name val="Carlito"/>
    </x:font>
    <x:font>
      <x:sz val="11"/>
      <x:color rgb="FF7F6000"/>
      <x:name val="Carlito"/>
    </x:font>
  </x:fonts>
  <x:fills count="3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FFF2CC"/>
      </x:patternFill>
    </x:fill>
  </x:fills>
  <x:borders count="9">
    <x:border/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50">
    <x:xf numFmtId="0" fontId="0" fillId="0" borderId="0">
      <x:alignment vertical="center"/>
    </x:xf>
    <x:xf numFmtId="43" fontId="5" fillId="0" borderId="0" applyFont="0" applyFill="0" applyBorder="0" applyAlignment="0" applyProtection="0">
      <x:alignment vertical="center"/>
    </x:xf>
    <x:xf numFmtId="44" fontId="5" fillId="0" borderId="0" applyFont="0" applyFill="0" applyBorder="0" applyAlignment="0" applyProtection="0">
      <x:alignment vertical="center"/>
    </x:xf>
    <x:xf numFmtId="9" fontId="5" fillId="0" borderId="0" applyFont="0" applyFill="0" applyBorder="0" applyAlignment="0" applyProtection="0">
      <x:alignment vertical="center"/>
    </x:xf>
    <x:xf numFmtId="41" fontId="5" fillId="0" borderId="0" applyFont="0" applyFill="0" applyBorder="0" applyAlignment="0" applyProtection="0">
      <x:alignment vertical="center"/>
    </x:xf>
    <x:xf numFmtId="42" fontId="5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5" fillId="5" borderId="1" applyNumberFormat="0" applyFont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2" applyNumberFormat="0" applyFill="0" applyAlignment="0" applyProtection="0">
      <x:alignment vertical="center"/>
    </x:xf>
    <x:xf numFmtId="0" fontId="12" fillId="0" borderId="2" applyNumberFormat="0" applyFill="0" applyAlignment="0" applyProtection="0">
      <x:alignment vertical="center"/>
    </x:xf>
    <x:xf numFmtId="0" fontId="13" fillId="0" borderId="3" applyNumberFormat="0" applyFill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6" borderId="4" applyNumberFormat="0" applyAlignment="0" applyProtection="0">
      <x:alignment vertical="center"/>
    </x:xf>
    <x:xf numFmtId="0" fontId="15" fillId="7" borderId="5" applyNumberFormat="0" applyAlignment="0" applyProtection="0">
      <x:alignment vertical="center"/>
    </x:xf>
    <x:xf numFmtId="0" fontId="16" fillId="7" borderId="4" applyNumberFormat="0" applyAlignment="0" applyProtection="0">
      <x:alignment vertical="center"/>
    </x:xf>
    <x:xf numFmtId="0" fontId="17" fillId="8" borderId="6" applyNumberFormat="0" applyAlignment="0" applyProtection="0">
      <x:alignment vertical="center"/>
    </x:xf>
    <x:xf numFmtId="0" fontId="18" fillId="0" borderId="7" applyNumberFormat="0" applyFill="0" applyAlignment="0" applyProtection="0">
      <x:alignment vertical="center"/>
    </x:xf>
    <x:xf numFmtId="0" fontId="19" fillId="0" borderId="8" applyNumberFormat="0" applyFill="0" applyAlignment="0" applyProtection="0">
      <x:alignment vertical="center"/>
    </x:xf>
    <x:xf numFmtId="0" fontId="20" fillId="9" borderId="0" applyNumberFormat="0" applyBorder="0" applyAlignment="0" applyProtection="0">
      <x:alignment vertical="center"/>
    </x:xf>
    <x:xf numFmtId="0" fontId="21" fillId="10" borderId="0" applyNumberFormat="0" applyBorder="0" applyAlignment="0" applyProtection="0">
      <x:alignment vertical="center"/>
    </x:xf>
    <x:xf numFmtId="0" fontId="22" fillId="11" borderId="0" applyNumberFormat="0" applyBorder="0" applyAlignment="0" applyProtection="0">
      <x:alignment vertical="center"/>
    </x:xf>
    <x:xf numFmtId="0" fontId="23" fillId="12" borderId="0" applyNumberFormat="0" applyBorder="0" applyAlignment="0" applyProtection="0">
      <x:alignment vertical="center"/>
    </x:xf>
    <x:xf numFmtId="0" fontId="24" fillId="13" borderId="0" applyNumberFormat="0" applyBorder="0" applyAlignment="0" applyProtection="0">
      <x:alignment vertical="center"/>
    </x:xf>
    <x:xf numFmtId="0" fontId="24" fillId="14" borderId="0" applyNumberFormat="0" applyBorder="0" applyAlignment="0" applyProtection="0">
      <x:alignment vertical="center"/>
    </x:xf>
    <x:xf numFmtId="0" fontId="23" fillId="15" borderId="0" applyNumberFormat="0" applyBorder="0" applyAlignment="0" applyProtection="0">
      <x:alignment vertical="center"/>
    </x:xf>
    <x:xf numFmtId="0" fontId="23" fillId="16" borderId="0" applyNumberFormat="0" applyBorder="0" applyAlignment="0" applyProtection="0">
      <x:alignment vertical="center"/>
    </x:xf>
    <x:xf numFmtId="0" fontId="24" fillId="17" borderId="0" applyNumberFormat="0" applyBorder="0" applyAlignment="0" applyProtection="0">
      <x:alignment vertical="center"/>
    </x:xf>
    <x:xf numFmtId="0" fontId="24" fillId="18" borderId="0" applyNumberFormat="0" applyBorder="0" applyAlignment="0" applyProtection="0">
      <x:alignment vertical="center"/>
    </x:xf>
    <x:xf numFmtId="0" fontId="23" fillId="19" borderId="0" applyNumberFormat="0" applyBorder="0" applyAlignment="0" applyProtection="0">
      <x:alignment vertical="center"/>
    </x:xf>
    <x:xf numFmtId="0" fontId="23" fillId="20" borderId="0" applyNumberFormat="0" applyBorder="0" applyAlignment="0" applyProtection="0">
      <x:alignment vertical="center"/>
    </x:xf>
    <x:xf numFmtId="0" fontId="24" fillId="21" borderId="0" applyNumberFormat="0" applyBorder="0" applyAlignment="0" applyProtection="0">
      <x:alignment vertical="center"/>
    </x:xf>
    <x:xf numFmtId="0" fontId="24" fillId="22" borderId="0" applyNumberFormat="0" applyBorder="0" applyAlignment="0" applyProtection="0">
      <x:alignment vertical="center"/>
    </x:xf>
    <x:xf numFmtId="0" fontId="23" fillId="23" borderId="0" applyNumberFormat="0" applyBorder="0" applyAlignment="0" applyProtection="0">
      <x:alignment vertical="center"/>
    </x:xf>
    <x:xf numFmtId="0" fontId="23" fillId="24" borderId="0" applyNumberFormat="0" applyBorder="0" applyAlignment="0" applyProtection="0">
      <x:alignment vertical="center"/>
    </x:xf>
    <x:xf numFmtId="0" fontId="24" fillId="25" borderId="0" applyNumberFormat="0" applyBorder="0" applyAlignment="0" applyProtection="0">
      <x:alignment vertical="center"/>
    </x:xf>
    <x:xf numFmtId="0" fontId="24" fillId="26" borderId="0" applyNumberFormat="0" applyBorder="0" applyAlignment="0" applyProtection="0">
      <x:alignment vertical="center"/>
    </x:xf>
    <x:xf numFmtId="0" fontId="23" fillId="27" borderId="0" applyNumberFormat="0" applyBorder="0" applyAlignment="0" applyProtection="0">
      <x:alignment vertical="center"/>
    </x:xf>
    <x:xf numFmtId="0" fontId="23" fillId="28" borderId="0" applyNumberFormat="0" applyBorder="0" applyAlignment="0" applyProtection="0">
      <x:alignment vertical="center"/>
    </x:xf>
    <x:xf numFmtId="0" fontId="24" fillId="29" borderId="0" applyNumberFormat="0" applyBorder="0" applyAlignment="0" applyProtection="0">
      <x:alignment vertical="center"/>
    </x:xf>
    <x:xf numFmtId="0" fontId="24" fillId="30" borderId="0" applyNumberFormat="0" applyBorder="0" applyAlignment="0" applyProtection="0">
      <x:alignment vertical="center"/>
    </x:xf>
    <x:xf numFmtId="0" fontId="23" fillId="31" borderId="0" applyNumberFormat="0" applyBorder="0" applyAlignment="0" applyProtection="0">
      <x:alignment vertical="center"/>
    </x:xf>
    <x:xf numFmtId="0" fontId="23" fillId="32" borderId="0" applyNumberFormat="0" applyBorder="0" applyAlignment="0" applyProtection="0">
      <x:alignment vertical="center"/>
    </x:xf>
    <x:xf numFmtId="0" fontId="24" fillId="33" borderId="0" applyNumberFormat="0" applyBorder="0" applyAlignment="0" applyProtection="0">
      <x:alignment vertical="center"/>
    </x:xf>
    <x:xf numFmtId="0" fontId="24" fillId="34" borderId="0" applyNumberFormat="0" applyBorder="0" applyAlignment="0" applyProtection="0">
      <x:alignment vertical="center"/>
    </x:xf>
    <x:xf numFmtId="0" fontId="23" fillId="35" borderId="0" applyNumberFormat="0" applyBorder="0" applyAlignment="0" applyProtection="0">
      <x:alignment vertical="center"/>
    </x:xf>
    <x:xf numFmtId="0" fontId="0" fillId="0" borderId="0"/>
  </x:cellStyleXfs>
  <x:cellXfs count="12">
    <x:xf numFmtId="0" fontId="0" fillId="0" borderId="0" xfId="49"/>
    <x:xf numFmtId="0" fontId="0" fillId="0" borderId="0" xfId="49" applyAlignment="1">
      <x:alignment horizontal="center"/>
    </x:xf>
    <x:xf numFmtId="0" fontId="1" fillId="2" borderId="0" xfId="49" applyNumberFormat="1" applyFont="1" applyFill="1" applyBorder="1" applyAlignment="1">
      <x:alignment horizontal="center" vertical="center"/>
    </x:xf>
    <x:xf numFmtId="0" fontId="2" fillId="3" borderId="0" xfId="49" applyNumberFormat="1" applyFont="1" applyFill="1" applyBorder="1" applyAlignment="1">
      <x:alignment horizontal="center" vertical="center" wrapText="1"/>
    </x:xf>
    <x:xf numFmtId="0" fontId="0" fillId="0" borderId="0" xfId="49" applyNumberFormat="1" applyFont="1" applyFill="1" applyBorder="1" applyAlignment="1">
      <x:alignment horizontal="center" wrapText="1"/>
    </x:xf>
    <x:xf numFmtId="0" fontId="0" fillId="0" borderId="0" xfId="49" applyAlignment="1">
      <x:alignment horizontal="center" vertical="center"/>
    </x:xf>
    <x:xf numFmtId="0" fontId="0" fillId="0" borderId="0" xfId="49" applyNumberFormat="1" applyFont="1" applyFill="1" applyBorder="1" applyAlignment="1">
      <x:alignment horizontal="center" vertical="center" wrapText="1"/>
    </x:xf>
    <x:xf numFmtId="0" fontId="3" fillId="0" borderId="0" xfId="49" applyNumberFormat="1" applyFont="1" applyFill="1" applyBorder="1" applyAlignment="1">
      <x:alignment horizontal="center" wrapText="1"/>
    </x:xf>
    <x:xf numFmtId="0" fontId="0" fillId="0" borderId="0" xfId="49" applyNumberFormat="1" applyFont="1" applyFill="1" applyBorder="1" applyAlignment="1">
      <x:alignment horizontal="center"/>
    </x:xf>
    <x:xf numFmtId="0" fontId="4" fillId="4" borderId="0" xfId="49" applyNumberFormat="1" applyFont="1" applyFill="1" applyBorder="1" applyAlignment="1">
      <x:alignment horizontal="center"/>
    </x:xf>
    <x:xf numFmtId="0" fontId="0" fillId="36" borderId="0" xfId="0" applyNumberFormat="1" applyFont="1" applyFill="1" applyBorder="1" applyAlignment="1">
      <x:alignment horizontal="center" wrapText="1"/>
    </x:xf>
    <x:xf numFmtId="0" fontId="26" fillId="36" borderId="0" xfId="0" applyNumberFormat="1" applyFont="1" applyFill="1" applyBorder="1" applyAlignment="1">
      <x:alignment horizontal="center"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21">
    <x:dxf>
      <x:font>
        <x:b/>
        <x:color rgb="FF9C0006"/>
      </x:font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ont>
        <x:color rgb="FF274E13"/>
      </x:font>
      <x:fill>
        <x:patternFill>
          <x:bgColor rgb="FFD9EAD3"/>
        </x:patternFill>
      </x:fill>
    </x:dxf>
    <x:dxf>
      <x:font>
        <x:color rgb="FF9C0006"/>
      </x:font>
      <x:fill>
        <x:patternFill>
          <x:bgColor rgb="FFF4CCCC"/>
        </x:patternFill>
      </x:fill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9bf80739e06427c" /><Relationship Type="http://schemas.openxmlformats.org/officeDocument/2006/relationships/theme" Target="/xl/theme/theme1.xml" Id="Rf72eb49f8d91455d" /><Relationship Type="http://schemas.openxmlformats.org/officeDocument/2006/relationships/sharedStrings" Target="/xl/sharedStrings.xml" Id="R14c8d4dec80d4416" /><Relationship Type="http://schemas.openxmlformats.org/officeDocument/2006/relationships/worksheet" Target="/xl/worksheets/sheet1.xml" Id="R29389124250e437c" /><Relationship Type="http://schemas.openxmlformats.org/officeDocument/2006/relationships/worksheet" Target="/xl/worksheets/sheet2.xml" Id="R24710be64a3440e0" /><Relationship Type="http://schemas.openxmlformats.org/officeDocument/2006/relationships/worksheet" Target="/xl/worksheets/sheet3.xml" Id="Rc25fe597df1c4ab8" /><Relationship Type="http://schemas.openxmlformats.org/officeDocument/2006/relationships/worksheet" Target="/xl/worksheets/sheet4.xml" Id="R8433cc0096cc431c" /><Relationship Type="http://schemas.openxmlformats.org/officeDocument/2006/relationships/worksheet" Target="/xl/worksheets/sheet5.xml" Id="R09c63a4f15b8409c" /></Relationships>
</file>

<file path=xl/tables/table1.xml><?xml version="1.0" encoding="utf-8"?>
<x:table xmlns:x="http://schemas.openxmlformats.org/spreadsheetml/2006/main" id="1" name="TaskBreakdownTable" displayName="TaskBreakdownTable" ref="A2:K85" totalsRowShown="0">
  <x:sortState ref="A2:K85">
    <x:sortCondition ref="G3"/>
  </x:sortState>
  <x:tableColumns count="11">
    <x:tableColumn id="1" name="ID"/>
    <x:tableColumn id="2" name="模块"/>
    <x:tableColumn id="3" name="小需求"/>
    <x:tableColumn id="4" name="工作内容"/>
    <x:tableColumn id="5" name="负责人"/>
    <x:tableColumn id="6" name="优先级"/>
    <x:tableColumn id="7" name="计划日"/>
    <x:tableColumn id="8" name="前置依赖"/>
    <x:tableColumn id="9" name="验收标准"/>
    <x:tableColumn id="10" name="预估工时(h)"/>
    <x:tableColumn id="11" name="状态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cheduleTable" displayName="ScheduleTable" ref="A2:F8" totalsRowShown="0">
  <x:tableColumns count="6">
    <x:tableColumn id="1" name="阶段"/>
    <x:tableColumn id="2" name="日期"/>
    <x:tableColumn id="3" name="主题"/>
    <x:tableColumn id="4" name="你"/>
    <x:tableColumn id="5" name="协作者"/>
    <x:tableColumn id="6" name="当日 Release Ga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ApiTable" displayName="ApiTable" ref="A2:F31" totalsRowShown="0">
  <x:tableColumns count="6">
    <x:tableColumn id="1" name="领域"/>
    <x:tableColumn id="2" name="Method"/>
    <x:tableColumn id="3" name="Route"/>
    <x:tableColumn id="4" name="用途"/>
    <x:tableColumn id="5" name="优先级"/>
    <x:tableColumn id="6" name="计划日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eleaseChecklistTable" displayName="ReleaseChecklistTable" ref="A2:F29" totalsRowShown="0">
  <x:tableColumns count="6">
    <x:tableColumn id="1" name="分类"/>
    <x:tableColumn id="2" name="优先级"/>
    <x:tableColumn id="3" name="检查项"/>
    <x:tableColumn id="4" name="负责人"/>
    <x:tableColumn id="5" name="最晚完成"/>
    <x:tableColumn id="6" name="状态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5c28140aabc4ee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f28b8fbb23c43a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ee421e88b06436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284fc9b164714d4c" /></Relationships>
</file>

<file path=xl/worksheets/sheet1.xml><?xml version="1.0" encoding="utf-8"?>
<x:worksheet xmlns:x="http://schemas.openxmlformats.org/spreadsheetml/2006/main">
  <x:sheetFormatPr defaultColWidth="30.25" defaultRowHeight="14.25"/>
  <x:cols>
    <x:col min="1" max="1" width="16.625" style="1" customWidth="1"/>
    <x:col min="2" max="2" width="19.375" style="1" customWidth="1"/>
    <x:col min="3" max="4" width="17.5" style="1" customWidth="1"/>
    <x:col min="5" max="5" width="14.625" style="1" customWidth="1"/>
    <x:col min="6" max="6" width="28.875" style="1" customWidth="1"/>
    <x:col min="7" max="7" width="29.875" style="1" customWidth="1"/>
    <x:col min="8" max="16384" width="30.25" style="1" customWidth="1"/>
  </x:cols>
  <x:sheetData>
    <x:row r="1" ht="20.25">
      <x:c r="A1" s="2" t="s">
        <x:v>0</x:v>
      </x:c>
      <x:c r="B1" s="2"/>
      <x:c r="C1" s="2"/>
      <x:c r="D1" s="2"/>
      <x:c r="E1" s="2"/>
      <x:c r="F1" s="2"/>
      <x:c r="G1" s="2"/>
    </x:row>
    <x:row r="3" ht="15">
      <x:c r="A3" s="3" t="s">
        <x:v>1</x:v>
      </x:c>
      <x:c r="B3" s="3" t="s">
        <x:v>2</x:v>
      </x:c>
      <x:c r="D3" s="3" t="s">
        <x:v>3</x:v>
      </x:c>
      <x:c r="E3" s="3" t="s">
        <x:v>4</x:v>
      </x:c>
      <x:c r="F3" s="3" t="s">
        <x:v>5</x:v>
      </x:c>
      <x:c r="G3" s="3" t="s">
        <x:v>6</x:v>
      </x:c>
    </x:row>
    <x:row r="4" ht="41.25">
      <x:c r="A4" s="8" t="s">
        <x:v>7</x:v>
      </x:c>
      <x:c r="B4" s="8" t="e">
        <x:f>COUNTA(需求拆分!A3:A85)</x:f>
        <x:v>#NAME?</x:v>
      </x:c>
      <x:c r="D4" s="4" t="s">
        <x:v>8</x:v>
      </x:c>
      <x:c r="E4" s="4" t="s">
        <x:v>9</x:v>
      </x:c>
      <x:c r="F4" s="4" t="s">
        <x:v>10</x:v>
      </x:c>
      <x:c r="G4" s="4" t="s">
        <x:v>11</x:v>
      </x:c>
    </x:row>
    <x:row r="5" ht="28.5">
      <x:c r="A5" s="8" t="s">
        <x:v>12</x:v>
      </x:c>
      <x:c r="B5" s="8" t="e">
        <x:f>COUNTIF(需求拆分!F3:F85,"P0")</x:f>
        <x:v>#NAME?</x:v>
      </x:c>
      <x:c r="D5" s="4" t="s">
        <x:v>13</x:v>
      </x:c>
      <x:c r="E5" s="4" t="s">
        <x:v>14</x:v>
      </x:c>
      <x:c r="F5" s="4" t="s">
        <x:v>15</x:v>
      </x:c>
      <x:c r="G5" s="4" t="s">
        <x:v>16</x:v>
      </x:c>
    </x:row>
    <x:row r="6" ht="28.5">
      <x:c r="A6" s="8" t="s">
        <x:v>17</x:v>
      </x:c>
      <x:c r="B6" s="8" t="e">
        <x:f>COUNTIF(需求拆分!F3:F85,"P1")</x:f>
        <x:v>#NAME?</x:v>
      </x:c>
      <x:c r="D6" s="4" t="s">
        <x:v>18</x:v>
      </x:c>
      <x:c r="E6" s="4" t="s">
        <x:v>19</x:v>
      </x:c>
      <x:c r="F6" s="4" t="s">
        <x:v>20</x:v>
      </x:c>
      <x:c r="G6" s="4" t="s">
        <x:v>21</x:v>
      </x:c>
    </x:row>
    <x:row r="7" ht="28.5">
      <x:c r="A7" s="8" t="s">
        <x:v>22</x:v>
      </x:c>
      <x:c r="B7" s="8" t="e">
        <x:f>COUNTIF(需求拆分!K3:K85,"已完成")</x:f>
        <x:v>#NAME?</x:v>
      </x:c>
      <x:c r="D7" s="4" t="s">
        <x:v>23</x:v>
      </x:c>
      <x:c r="E7" s="4" t="s">
        <x:v>24</x:v>
      </x:c>
      <x:c r="F7" s="4" t="s">
        <x:v>25</x:v>
      </x:c>
      <x:c r="G7" s="4" t="s">
        <x:v>26</x:v>
      </x:c>
    </x:row>
    <x:row r="8" ht="27.75">
      <x:c r="A8" s="8" t="s">
        <x:v>27</x:v>
      </x:c>
      <x:c r="B8" s="8" t="e">
        <x:f>COUNTIF(需求拆分!K3:K85,"进行中")</x:f>
        <x:v>#NAME?</x:v>
      </x:c>
      <x:c r="D8" s="4" t="s">
        <x:v>28</x:v>
      </x:c>
      <x:c r="E8" s="4" t="s">
        <x:v>29</x:v>
      </x:c>
      <x:c r="F8" s="4" t="s">
        <x:v>30</x:v>
      </x:c>
      <x:c r="G8" s="4" t="s">
        <x:v>31</x:v>
      </x:c>
    </x:row>
    <x:row r="9" ht="42">
      <x:c r="A9" s="8" t="s">
        <x:v>32</x:v>
      </x:c>
      <x:c r="B9" s="8" t="e">
        <x:f>COUNTIF(需求拆分!K3:K85,"阻塞")</x:f>
        <x:v>#NAME?</x:v>
      </x:c>
      <x:c r="D9" s="4" t="s">
        <x:v>33</x:v>
      </x:c>
      <x:c r="E9" s="4" t="s">
        <x:v>34</x:v>
      </x:c>
      <x:c r="F9" s="4" t="s">
        <x:v>35</x:v>
      </x:c>
      <x:c r="G9" s="4" t="s">
        <x:v>36</x:v>
      </x:c>
    </x:row>
    <x:row r="10">
      <x:c r="A10" s="8" t="s">
        <x:v>37</x:v>
      </x:c>
      <x:c r="B10" s="8" t="e">
        <x:f>SUM(需求拆分!J3:J85)</x:f>
        <x:v>#NAME?</x:v>
      </x:c>
    </x:row>
    <x:row r="12" ht="15">
      <x:c r="A12" s="9" t="s">
        <x:v>38</x:v>
      </x:c>
      <x:c r="B12" s="9"/>
      <x:c r="C12" s="9"/>
      <x:c r="D12" s="9"/>
      <x:c r="E12" s="9"/>
      <x:c r="F12" s="9"/>
      <x:c r="G12" s="9"/>
    </x:row>
    <x:row r="13">
      <x:c r="A13" s="4" t="s">
        <x:v>39</x:v>
      </x:c>
      <x:c r="B13" s="4" t="s">
        <x:v>40</x:v>
      </x:c>
      <x:c r="C13" s="4" t="s">
        <x:v>41</x:v>
      </x:c>
      <x:c r="D13" s="4" t="s">
        <x:v>42</x:v>
      </x:c>
      <x:c r="E13" s="4" t="s">
        <x:v>43</x:v>
      </x:c>
      <x:c r="F13" s="4" t="s">
        <x:v>44</x:v>
      </x:c>
      <x:c r="G13" s="4" t="s">
        <x:v>45</x:v>
      </x:c>
    </x:row>
    <x:row r="14">
      <x:c r="A14" s="4" t="s">
        <x:v>46</x:v>
      </x:c>
      <x:c r="B14" s="4" t="s">
        <x:v>47</x:v>
      </x:c>
      <x:c r="C14" s="4" t="s">
        <x:v>48</x:v>
      </x:c>
      <x:c r="D14" s="4" t="s">
        <x:v>49</x:v>
      </x:c>
      <x:c r="E14" s="4" t="s">
        <x:v>50</x:v>
      </x:c>
      <x:c r="F14" s="4" t="s">
        <x:v>51</x:v>
      </x:c>
      <x:c r="G14" s="4" t="s">
        <x:v>52</x:v>
      </x:c>
    </x:row>
    <x:row r="15">
      <x:c r="A15" s="4" t="s">
        <x:v>53</x:v>
      </x:c>
      <x:c r="B15" s="4" t="s">
        <x:v>54</x:v>
      </x:c>
      <x:c r="C15" s="4" t="s">
        <x:v>55</x:v>
      </x:c>
      <x:c r="D15" s="4" t="s">
        <x:v>56</x:v>
      </x:c>
      <x:c r="E15" s="4" t="s">
        <x:v>56</x:v>
      </x:c>
      <x:c r="F15" s="4" t="s">
        <x:v>56</x:v>
      </x:c>
      <x:c r="G15" s="4" t="s">
        <x:v>57</x:v>
      </x:c>
    </x:row>
    <x:row r="16">
      <x:c r="A16" s="4" t="s">
        <x:v>58</x:v>
      </x:c>
      <x:c r="B16" s="4" t="s">
        <x:v>59</x:v>
      </x:c>
      <x:c r="C16" s="4" t="s">
        <x:v>60</x:v>
      </x:c>
      <x:c r="D16" s="4" t="s">
        <x:v>61</x:v>
      </x:c>
      <x:c r="E16" s="4" t="s">
        <x:v>62</x:v>
      </x:c>
      <x:c r="F16" s="4" t="s">
        <x:v>63</x:v>
      </x:c>
      <x:c r="G16" s="4" t="s">
        <x:v>64</x:v>
      </x:c>
    </x:row>
  </x:sheetData>
  <x:mergeCells>
    <x:mergeCell ref="A1:G1"/>
    <x:mergeCell ref="A12:G1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" defaultRowHeight="14.25"/>
  <x:cols>
    <x:col min="1" max="1" width="4.75" style="1" customWidth="1"/>
    <x:col min="2" max="2" width="10.75" style="1" customWidth="1"/>
    <x:col min="3" max="3" width="21.25" style="1" customWidth="1"/>
    <x:col min="4" max="4" width="57.125" style="1" customWidth="1"/>
    <x:col min="5" max="7" width="6.625" style="1" customWidth="1"/>
    <x:col min="8" max="8" width="17.625" style="1" customWidth="1"/>
    <x:col min="9" max="9" width="41.375" style="1" customWidth="1"/>
    <x:col min="10" max="10" width="11" style="1" customWidth="1"/>
    <x:col min="11" max="11" width="6.25" style="1" customWidth="1"/>
    <x:col min="12" max="16384" width="9" style="1" customWidth="0"/>
  </x:cols>
  <x:sheetData>
    <x:row r="1" ht="20.25">
      <x:c r="A1" s="2" t="s">
        <x:v>65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15">
      <x:c r="A2" s="3" t="s">
        <x:v>66</x:v>
      </x:c>
      <x:c r="B2" s="3" t="s">
        <x:v>67</x:v>
      </x:c>
      <x:c r="C2" s="3" t="s">
        <x:v>68</x:v>
      </x:c>
      <x:c r="D2" s="3" t="s">
        <x:v>69</x:v>
      </x:c>
      <x:c r="E2" s="3" t="s">
        <x:v>70</x:v>
      </x:c>
      <x:c r="F2" s="3" t="s">
        <x:v>71</x:v>
      </x:c>
      <x:c r="G2" s="3" t="s">
        <x:v>72</x:v>
      </x:c>
      <x:c r="H2" s="3" t="s">
        <x:v>73</x:v>
      </x:c>
      <x:c r="I2" s="3" t="s">
        <x:v>74</x:v>
      </x:c>
      <x:c r="J2" s="3" t="s">
        <x:v>75</x:v>
      </x:c>
      <x:c r="K2" s="3" t="s">
        <x:v>76</x:v>
      </x:c>
    </x:row>
    <x:row r="3">
      <x:c r="A3" s="4" t="s">
        <x:v>77</x:v>
      </x:c>
      <x:c r="B3" s="4" t="s">
        <x:v>78</x:v>
      </x:c>
      <x:c r="C3" s="4" t="s">
        <x:v>79</x:v>
      </x:c>
      <x:c r="D3" s="4" t="s">
        <x:v>80</x:v>
      </x:c>
      <x:c r="E3" s="4" t="s">
        <x:v>81</x:v>
      </x:c>
      <x:c r="F3" s="4" t="s">
        <x:v>82</x:v>
      </x:c>
      <x:c r="G3" s="4" t="s">
        <x:v>8</x:v>
      </x:c>
      <x:c r="H3" s="4" t="s">
        <x:v>83</x:v>
      </x:c>
      <x:c r="I3" s="4" t="s">
        <x:v>84</x:v>
      </x:c>
      <x:c r="J3" s="4">
        <x:v>1</x:v>
      </x:c>
      <x:c r="K3" s="4" t="s">
        <x:v>22</x:v>
      </x:c>
    </x:row>
    <x:row r="4">
      <x:c r="A4" s="4" t="s">
        <x:v>85</x:v>
      </x:c>
      <x:c r="B4" s="4" t="s">
        <x:v>78</x:v>
      </x:c>
      <x:c r="C4" s="4" t="s">
        <x:v>86</x:v>
      </x:c>
      <x:c r="D4" s="4" t="s">
        <x:v>87</x:v>
      </x:c>
      <x:c r="E4" s="4" t="s">
        <x:v>81</x:v>
      </x:c>
      <x:c r="F4" s="4" t="s">
        <x:v>82</x:v>
      </x:c>
      <x:c r="G4" s="4" t="s">
        <x:v>8</x:v>
      </x:c>
      <x:c r="H4" s="4" t="s">
        <x:v>77</x:v>
      </x:c>
      <x:c r="I4" s="4" t="s">
        <x:v>88</x:v>
      </x:c>
      <x:c r="J4" s="4">
        <x:v>1.5</x:v>
      </x:c>
      <x:c r="K4" s="4" t="s">
        <x:v>22</x:v>
      </x:c>
    </x:row>
    <x:row r="5">
      <x:c r="A5" s="4" t="s">
        <x:v>89</x:v>
      </x:c>
      <x:c r="B5" s="4" t="s">
        <x:v>78</x:v>
      </x:c>
      <x:c r="C5" s="4" t="s">
        <x:v>90</x:v>
      </x:c>
      <x:c r="D5" s="4" t="s">
        <x:v>91</x:v>
      </x:c>
      <x:c r="E5" s="4" t="s">
        <x:v>81</x:v>
      </x:c>
      <x:c r="F5" s="4" t="s">
        <x:v>82</x:v>
      </x:c>
      <x:c r="G5" s="4" t="s">
        <x:v>8</x:v>
      </x:c>
      <x:c r="H5" s="4" t="s">
        <x:v>77</x:v>
      </x:c>
      <x:c r="I5" s="4" t="s">
        <x:v>92</x:v>
      </x:c>
      <x:c r="J5" s="4">
        <x:v>2</x:v>
      </x:c>
      <x:c r="K5" s="4" t="s">
        <x:v>22</x:v>
      </x:c>
    </x:row>
    <x:row r="6">
      <x:c r="A6" s="4" t="s">
        <x:v>93</x:v>
      </x:c>
      <x:c r="B6" s="4" t="s">
        <x:v>78</x:v>
      </x:c>
      <x:c r="C6" s="4" t="s">
        <x:v>94</x:v>
      </x:c>
      <x:c r="D6" s="4" t="s">
        <x:v>95</x:v>
      </x:c>
      <x:c r="E6" s="4" t="s">
        <x:v>81</x:v>
      </x:c>
      <x:c r="F6" s="4" t="s">
        <x:v>82</x:v>
      </x:c>
      <x:c r="G6" s="4" t="s">
        <x:v>8</x:v>
      </x:c>
      <x:c r="H6" s="4" t="s">
        <x:v>77</x:v>
      </x:c>
      <x:c r="I6" s="4" t="s">
        <x:v>96</x:v>
      </x:c>
      <x:c r="J6" s="4">
        <x:v>2</x:v>
      </x:c>
      <x:c r="K6" s="4" t="s">
        <x:v>22</x:v>
      </x:c>
    </x:row>
    <x:row r="7">
      <x:c r="A7" s="4" t="s">
        <x:v>97</x:v>
      </x:c>
      <x:c r="B7" s="4" t="s">
        <x:v>98</x:v>
      </x:c>
      <x:c r="C7" s="4" t="s">
        <x:v>99</x:v>
      </x:c>
      <x:c r="D7" s="4" t="s">
        <x:v>100</x:v>
      </x:c>
      <x:c r="E7" s="4" t="s">
        <x:v>81</x:v>
      </x:c>
      <x:c r="F7" s="4" t="s">
        <x:v>82</x:v>
      </x:c>
      <x:c r="G7" s="4" t="s">
        <x:v>8</x:v>
      </x:c>
      <x:c r="H7" s="4" t="s">
        <x:v>89</x:v>
      </x:c>
      <x:c r="I7" s="4" t="s">
        <x:v>101</x:v>
      </x:c>
      <x:c r="J7" s="4">
        <x:v>2</x:v>
      </x:c>
      <x:c r="K7" s="4" t="s">
        <x:v>22</x:v>
      </x:c>
    </x:row>
    <x:row r="8">
      <x:c r="A8" s="4" t="s">
        <x:v>102</x:v>
      </x:c>
      <x:c r="B8" s="4" t="s">
        <x:v>98</x:v>
      </x:c>
      <x:c r="C8" s="4" t="s">
        <x:v>103</x:v>
      </x:c>
      <x:c r="D8" s="4" t="s">
        <x:v>104</x:v>
      </x:c>
      <x:c r="E8" s="4" t="s">
        <x:v>81</x:v>
      </x:c>
      <x:c r="F8" s="4" t="s">
        <x:v>82</x:v>
      </x:c>
      <x:c r="G8" s="4" t="s">
        <x:v>8</x:v>
      </x:c>
      <x:c r="H8" s="4" t="s">
        <x:v>97</x:v>
      </x:c>
      <x:c r="I8" s="4" t="s">
        <x:v>105</x:v>
      </x:c>
      <x:c r="J8" s="4">
        <x:v>1.5</x:v>
      </x:c>
      <x:c r="K8" s="4" t="s">
        <x:v>22</x:v>
      </x:c>
    </x:row>
    <x:row r="9">
      <x:c r="A9" s="4" t="s">
        <x:v>106</x:v>
      </x:c>
      <x:c r="B9" s="4" t="s">
        <x:v>98</x:v>
      </x:c>
      <x:c r="C9" s="4" t="s">
        <x:v>107</x:v>
      </x:c>
      <x:c r="D9" s="4" t="s">
        <x:v>108</x:v>
      </x:c>
      <x:c r="E9" s="4" t="s">
        <x:v>81</x:v>
      </x:c>
      <x:c r="F9" s="4" t="s">
        <x:v>82</x:v>
      </x:c>
      <x:c r="G9" s="4" t="s">
        <x:v>8</x:v>
      </x:c>
      <x:c r="H9" s="4" t="s">
        <x:v>109</x:v>
      </x:c>
      <x:c r="I9" s="4" t="s">
        <x:v>110</x:v>
      </x:c>
      <x:c r="J9" s="4">
        <x:v>2</x:v>
      </x:c>
      <x:c r="K9" s="11" t="str">
        <x:v>进行中</x:v>
      </x:c>
    </x:row>
    <x:row r="10">
      <x:c r="A10" s="4" t="s">
        <x:v>111</x:v>
      </x:c>
      <x:c r="B10" s="4" t="s">
        <x:v>98</x:v>
      </x:c>
      <x:c r="C10" s="4" t="s">
        <x:v>112</x:v>
      </x:c>
      <x:c r="D10" s="4" t="s">
        <x:v>113</x:v>
      </x:c>
      <x:c r="E10" s="4" t="s">
        <x:v>81</x:v>
      </x:c>
      <x:c r="F10" s="4" t="s">
        <x:v>82</x:v>
      </x:c>
      <x:c r="G10" s="4" t="s">
        <x:v>8</x:v>
      </x:c>
      <x:c r="H10" s="4" t="s">
        <x:v>97</x:v>
      </x:c>
      <x:c r="I10" s="4" t="s">
        <x:v>114</x:v>
      </x:c>
      <x:c r="J10" s="4">
        <x:v>2</x:v>
      </x:c>
      <x:c r="K10" s="4" t="s">
        <x:v>22</x:v>
      </x:c>
    </x:row>
    <x:row r="11">
      <x:c r="A11" s="4" t="s">
        <x:v>115</x:v>
      </x:c>
      <x:c r="B11" s="4" t="s">
        <x:v>116</x:v>
      </x:c>
      <x:c r="C11" s="4" t="s">
        <x:v>117</x:v>
      </x:c>
      <x:c r="D11" s="4" t="s">
        <x:v>118</x:v>
      </x:c>
      <x:c r="E11" s="4" t="s">
        <x:v>119</x:v>
      </x:c>
      <x:c r="F11" s="4" t="s">
        <x:v>82</x:v>
      </x:c>
      <x:c r="G11" s="4" t="s">
        <x:v>8</x:v>
      </x:c>
      <x:c r="H11" s="4" t="s">
        <x:v>77</x:v>
      </x:c>
      <x:c r="I11" s="4" t="s">
        <x:v>120</x:v>
      </x:c>
      <x:c r="J11" s="4">
        <x:v>3</x:v>
      </x:c>
      <x:c r="K11" s="4" t="s">
        <x:v>22</x:v>
      </x:c>
    </x:row>
    <x:row r="12">
      <x:c r="A12" s="4" t="s">
        <x:v>121</x:v>
      </x:c>
      <x:c r="B12" s="4" t="s">
        <x:v>122</x:v>
      </x:c>
      <x:c r="C12" s="4" t="s">
        <x:v>123</x:v>
      </x:c>
      <x:c r="D12" s="4" t="s">
        <x:v>124</x:v>
      </x:c>
      <x:c r="E12" s="4" t="s">
        <x:v>81</x:v>
      </x:c>
      <x:c r="F12" s="4" t="s">
        <x:v>82</x:v>
      </x:c>
      <x:c r="G12" s="4" t="s">
        <x:v>8</x:v>
      </x:c>
      <x:c r="H12" s="4" t="s">
        <x:v>89</x:v>
      </x:c>
      <x:c r="I12" s="4" t="s">
        <x:v>125</x:v>
      </x:c>
      <x:c r="J12" s="4">
        <x:v>1</x:v>
      </x:c>
      <x:c r="K12" s="4" t="s">
        <x:v>32</x:v>
      </x:c>
    </x:row>
    <x:row r="13">
      <x:c r="A13" s="4" t="s">
        <x:v>126</x:v>
      </x:c>
      <x:c r="B13" s="4" t="s">
        <x:v>127</x:v>
      </x:c>
      <x:c r="C13" s="4" t="s">
        <x:v>128</x:v>
      </x:c>
      <x:c r="D13" s="7" t="s">
        <x:v>129</x:v>
      </x:c>
      <x:c r="E13" s="4" t="s">
        <x:v>119</x:v>
      </x:c>
      <x:c r="F13" s="4" t="s">
        <x:v>82</x:v>
      </x:c>
      <x:c r="G13" s="4" t="s">
        <x:v>8</x:v>
      </x:c>
      <x:c r="H13" s="4" t="s">
        <x:v>83</x:v>
      </x:c>
      <x:c r="I13" s="4" t="s">
        <x:v>130</x:v>
      </x:c>
      <x:c r="J13" s="4">
        <x:v>1.5</x:v>
      </x:c>
      <x:c r="K13" s="4" t="s">
        <x:v>22</x:v>
      </x:c>
    </x:row>
    <x:row r="14">
      <x:c r="A14" s="4" t="s">
        <x:v>131</x:v>
      </x:c>
      <x:c r="B14" s="4" t="s">
        <x:v>98</x:v>
      </x:c>
      <x:c r="C14" s="4" t="s">
        <x:v>132</x:v>
      </x:c>
      <x:c r="D14" s="4" t="s">
        <x:v>133</x:v>
      </x:c>
      <x:c r="E14" s="4" t="s">
        <x:v>81</x:v>
      </x:c>
      <x:c r="F14" s="4" t="s">
        <x:v>82</x:v>
      </x:c>
      <x:c r="G14" s="4" t="s">
        <x:v>134</x:v>
      </x:c>
      <x:c r="H14" s="4" t="s">
        <x:v>97</x:v>
      </x:c>
      <x:c r="I14" s="4" t="s">
        <x:v>135</x:v>
      </x:c>
      <x:c r="J14" s="4">
        <x:v>2.5</x:v>
      </x:c>
      <x:c r="K14" s="4" t="s">
        <x:v>32</x:v>
      </x:c>
    </x:row>
    <x:row r="15">
      <x:c r="A15" s="4" t="s">
        <x:v>136</x:v>
      </x:c>
      <x:c r="B15" s="4" t="s">
        <x:v>137</x:v>
      </x:c>
      <x:c r="C15" s="4" t="s">
        <x:v>138</x:v>
      </x:c>
      <x:c r="D15" s="4" t="s">
        <x:v>139</x:v>
      </x:c>
      <x:c r="E15" s="4" t="s">
        <x:v>119</x:v>
      </x:c>
      <x:c r="F15" s="4" t="s">
        <x:v>82</x:v>
      </x:c>
      <x:c r="G15" s="4" t="s">
        <x:v>134</x:v>
      </x:c>
      <x:c r="H15" s="4" t="s">
        <x:v>93</x:v>
      </x:c>
      <x:c r="I15" s="4" t="s">
        <x:v>140</x:v>
      </x:c>
      <x:c r="J15" s="4">
        <x:v>2.5</x:v>
      </x:c>
      <x:c r="K15" s="11" t="str">
        <x:v>进行中</x:v>
      </x:c>
    </x:row>
    <x:row r="16">
      <x:c r="A16" s="4" t="s">
        <x:v>141</x:v>
      </x:c>
      <x:c r="B16" s="4" t="s">
        <x:v>127</x:v>
      </x:c>
      <x:c r="C16" s="4" t="s">
        <x:v>142</x:v>
      </x:c>
      <x:c r="D16" s="4" t="s">
        <x:v>143</x:v>
      </x:c>
      <x:c r="E16" s="4" t="s">
        <x:v>119</x:v>
      </x:c>
      <x:c r="F16" s="4" t="s">
        <x:v>82</x:v>
      </x:c>
      <x:c r="G16" s="4" t="s">
        <x:v>134</x:v>
      </x:c>
      <x:c r="H16" s="4" t="s">
        <x:v>144</x:v>
      </x:c>
      <x:c r="I16" s="4" t="s">
        <x:v>145</x:v>
      </x:c>
      <x:c r="J16" s="4">
        <x:v>2.5</x:v>
      </x:c>
      <x:c r="K16" s="11" t="str">
        <x:v>进行中</x:v>
      </x:c>
    </x:row>
    <x:row r="17">
      <x:c r="A17" s="4" t="s">
        <x:v>146</x:v>
      </x:c>
      <x:c r="B17" s="4" t="s">
        <x:v>137</x:v>
      </x:c>
      <x:c r="C17" s="4" t="s">
        <x:v>147</x:v>
      </x:c>
      <x:c r="D17" s="4" t="s">
        <x:v>148</x:v>
      </x:c>
      <x:c r="E17" s="4" t="s">
        <x:v>119</x:v>
      </x:c>
      <x:c r="F17" s="4" t="s">
        <x:v>82</x:v>
      </x:c>
      <x:c r="G17" s="4" t="s">
        <x:v>13</x:v>
      </x:c>
      <x:c r="H17" s="4" t="s">
        <x:v>136</x:v>
      </x:c>
      <x:c r="I17" s="4" t="s">
        <x:v>149</x:v>
      </x:c>
      <x:c r="J17" s="4">
        <x:v>2</x:v>
      </x:c>
      <x:c r="K17" s="4" t="str">
        <x:v>已完成</x:v>
      </x:c>
    </x:row>
    <x:row r="18">
      <x:c r="A18" s="4" t="s">
        <x:v>150</x:v>
      </x:c>
      <x:c r="B18" s="4" t="s">
        <x:v>137</x:v>
      </x:c>
      <x:c r="C18" s="4" t="s">
        <x:v>151</x:v>
      </x:c>
      <x:c r="D18" s="4" t="s">
        <x:v>152</x:v>
      </x:c>
      <x:c r="E18" s="4" t="s">
        <x:v>119</x:v>
      </x:c>
      <x:c r="F18" s="4" t="s">
        <x:v>82</x:v>
      </x:c>
      <x:c r="G18" s="4" t="s">
        <x:v>13</x:v>
      </x:c>
      <x:c r="H18" s="4" t="s">
        <x:v>136</x:v>
      </x:c>
      <x:c r="I18" s="4" t="s">
        <x:v>153</x:v>
      </x:c>
      <x:c r="J18" s="4">
        <x:v>2</x:v>
      </x:c>
      <x:c r="K18" s="4" t="str">
        <x:v>已完成</x:v>
      </x:c>
    </x:row>
    <x:row r="19">
      <x:c r="A19" s="4" t="s">
        <x:v>154</x:v>
      </x:c>
      <x:c r="B19" s="4" t="s">
        <x:v>137</x:v>
      </x:c>
      <x:c r="C19" s="4" t="s">
        <x:v>155</x:v>
      </x:c>
      <x:c r="D19" s="4" t="s">
        <x:v>156</x:v>
      </x:c>
      <x:c r="E19" s="4" t="s">
        <x:v>119</x:v>
      </x:c>
      <x:c r="F19" s="4" t="s">
        <x:v>82</x:v>
      </x:c>
      <x:c r="G19" s="4" t="s">
        <x:v>13</x:v>
      </x:c>
      <x:c r="H19" s="4" t="s">
        <x:v>136</x:v>
      </x:c>
      <x:c r="I19" s="4" t="s">
        <x:v>153</x:v>
      </x:c>
      <x:c r="J19" s="4">
        <x:v>2</x:v>
      </x:c>
      <x:c r="K19" s="4" t="str">
        <x:v>已完成</x:v>
      </x:c>
    </x:row>
    <x:row r="20">
      <x:c r="A20" s="4" t="s">
        <x:v>157</x:v>
      </x:c>
      <x:c r="B20" s="4" t="s">
        <x:v>137</x:v>
      </x:c>
      <x:c r="C20" s="4" t="s">
        <x:v>158</x:v>
      </x:c>
      <x:c r="D20" s="4" t="s">
        <x:v>159</x:v>
      </x:c>
      <x:c r="E20" s="4" t="s">
        <x:v>119</x:v>
      </x:c>
      <x:c r="F20" s="4" t="s">
        <x:v>82</x:v>
      </x:c>
      <x:c r="G20" s="4" t="s">
        <x:v>13</x:v>
      </x:c>
      <x:c r="H20" s="4" t="s">
        <x:v>136</x:v>
      </x:c>
      <x:c r="I20" s="4" t="s">
        <x:v>160</x:v>
      </x:c>
      <x:c r="J20" s="4">
        <x:v>1.5</x:v>
      </x:c>
      <x:c r="K20" s="4" t="str">
        <x:v>已完成</x:v>
      </x:c>
    </x:row>
    <x:row r="21">
      <x:c r="A21" s="4" t="s">
        <x:v>161</x:v>
      </x:c>
      <x:c r="B21" s="4" t="s">
        <x:v>162</x:v>
      </x:c>
      <x:c r="C21" s="4" t="s">
        <x:v>163</x:v>
      </x:c>
      <x:c r="D21" s="4" t="s">
        <x:v>164</x:v>
      </x:c>
      <x:c r="E21" s="4" t="s">
        <x:v>81</x:v>
      </x:c>
      <x:c r="F21" s="4" t="s">
        <x:v>82</x:v>
      </x:c>
      <x:c r="G21" s="4" t="s">
        <x:v>13</x:v>
      </x:c>
      <x:c r="H21" s="4" t="s">
        <x:v>165</x:v>
      </x:c>
      <x:c r="I21" s="4" t="s">
        <x:v>166</x:v>
      </x:c>
      <x:c r="J21" s="4">
        <x:v>2</x:v>
      </x:c>
      <x:c r="K21" s="4" t="str">
        <x:v>已完成</x:v>
      </x:c>
    </x:row>
    <x:row r="22">
      <x:c r="A22" s="4" t="s">
        <x:v>167</x:v>
      </x:c>
      <x:c r="B22" s="4" t="s">
        <x:v>162</x:v>
      </x:c>
      <x:c r="C22" s="4" t="s">
        <x:v>168</x:v>
      </x:c>
      <x:c r="D22" s="4" t="s">
        <x:v>169</x:v>
      </x:c>
      <x:c r="E22" s="4" t="s">
        <x:v>81</x:v>
      </x:c>
      <x:c r="F22" s="4" t="s">
        <x:v>82</x:v>
      </x:c>
      <x:c r="G22" s="4" t="s">
        <x:v>13</x:v>
      </x:c>
      <x:c r="H22" s="4" t="s">
        <x:v>161</x:v>
      </x:c>
      <x:c r="I22" s="4" t="s">
        <x:v>170</x:v>
      </x:c>
      <x:c r="J22" s="4">
        <x:v>1.5</x:v>
      </x:c>
      <x:c r="K22" s="11" t="str">
        <x:v>进行中</x:v>
      </x:c>
    </x:row>
    <x:row r="23">
      <x:c r="A23" s="4" t="s">
        <x:v>171</x:v>
      </x:c>
      <x:c r="B23" s="4" t="s">
        <x:v>162</x:v>
      </x:c>
      <x:c r="C23" s="4" t="s">
        <x:v>172</x:v>
      </x:c>
      <x:c r="D23" s="4" t="s">
        <x:v>173</x:v>
      </x:c>
      <x:c r="E23" s="4" t="s">
        <x:v>81</x:v>
      </x:c>
      <x:c r="F23" s="4" t="s">
        <x:v>82</x:v>
      </x:c>
      <x:c r="G23" s="4" t="s">
        <x:v>13</x:v>
      </x:c>
      <x:c r="H23" s="4" t="s">
        <x:v>161</x:v>
      </x:c>
      <x:c r="I23" s="4" t="s">
        <x:v>174</x:v>
      </x:c>
      <x:c r="J23" s="4">
        <x:v>2</x:v>
      </x:c>
      <x:c r="K23" s="4" t="str">
        <x:v>已完成</x:v>
      </x:c>
    </x:row>
    <x:row r="24">
      <x:c r="A24" s="4" t="s">
        <x:v>175</x:v>
      </x:c>
      <x:c r="B24" s="4" t="s">
        <x:v>162</x:v>
      </x:c>
      <x:c r="C24" s="4" t="s">
        <x:v>176</x:v>
      </x:c>
      <x:c r="D24" s="4" t="s">
        <x:v>177</x:v>
      </x:c>
      <x:c r="E24" s="4" t="s">
        <x:v>81</x:v>
      </x:c>
      <x:c r="F24" s="4" t="s">
        <x:v>82</x:v>
      </x:c>
      <x:c r="G24" s="4" t="s">
        <x:v>13</x:v>
      </x:c>
      <x:c r="H24" s="4" t="s">
        <x:v>167</x:v>
      </x:c>
      <x:c r="I24" s="4" t="s">
        <x:v>178</x:v>
      </x:c>
      <x:c r="J24" s="4">
        <x:v>2</x:v>
      </x:c>
      <x:c r="K24" s="4" t="str">
        <x:v>已完成</x:v>
      </x:c>
    </x:row>
    <x:row r="25">
      <x:c r="A25" s="4" t="s">
        <x:v>179</x:v>
      </x:c>
      <x:c r="B25" s="4" t="s">
        <x:v>180</x:v>
      </x:c>
      <x:c r="C25" s="4" t="s">
        <x:v>181</x:v>
      </x:c>
      <x:c r="D25" s="4" t="s">
        <x:v>182</x:v>
      </x:c>
      <x:c r="E25" s="4" t="s">
        <x:v>81</x:v>
      </x:c>
      <x:c r="F25" s="4" t="s">
        <x:v>82</x:v>
      </x:c>
      <x:c r="G25" s="4" t="s">
        <x:v>13</x:v>
      </x:c>
      <x:c r="H25" s="4" t="s">
        <x:v>183</x:v>
      </x:c>
      <x:c r="I25" s="4" t="s">
        <x:v>184</x:v>
      </x:c>
      <x:c r="J25" s="4">
        <x:v>2</x:v>
      </x:c>
      <x:c r="K25" s="4" t="str">
        <x:v>已完成</x:v>
      </x:c>
    </x:row>
    <x:row r="26">
      <x:c r="A26" s="4" t="s">
        <x:v>185</x:v>
      </x:c>
      <x:c r="B26" s="4" t="s">
        <x:v>180</x:v>
      </x:c>
      <x:c r="C26" s="4" t="s">
        <x:v>186</x:v>
      </x:c>
      <x:c r="D26" s="4" t="s">
        <x:v>187</x:v>
      </x:c>
      <x:c r="E26" s="4" t="s">
        <x:v>81</x:v>
      </x:c>
      <x:c r="F26" s="4" t="s">
        <x:v>82</x:v>
      </x:c>
      <x:c r="G26" s="4" t="s">
        <x:v>13</x:v>
      </x:c>
      <x:c r="H26" s="4" t="s">
        <x:v>179</x:v>
      </x:c>
      <x:c r="I26" s="4" t="s">
        <x:v>188</x:v>
      </x:c>
      <x:c r="J26" s="4">
        <x:v>1.5</x:v>
      </x:c>
      <x:c r="K26" s="4" t="str">
        <x:v>已完成</x:v>
      </x:c>
    </x:row>
    <x:row r="27">
      <x:c r="A27" s="4" t="s">
        <x:v>189</x:v>
      </x:c>
      <x:c r="B27" s="4" t="s">
        <x:v>180</x:v>
      </x:c>
      <x:c r="C27" s="4" t="s">
        <x:v>190</x:v>
      </x:c>
      <x:c r="D27" s="4" t="s">
        <x:v>191</x:v>
      </x:c>
      <x:c r="E27" s="4" t="s">
        <x:v>81</x:v>
      </x:c>
      <x:c r="F27" s="4" t="s">
        <x:v>82</x:v>
      </x:c>
      <x:c r="G27" s="4" t="s">
        <x:v>13</x:v>
      </x:c>
      <x:c r="H27" s="4" t="s">
        <x:v>179</x:v>
      </x:c>
      <x:c r="I27" s="4" t="s">
        <x:v>192</x:v>
      </x:c>
      <x:c r="J27" s="4">
        <x:v>2</x:v>
      </x:c>
      <x:c r="K27" s="4" t="str">
        <x:v>已完成</x:v>
      </x:c>
    </x:row>
    <x:row r="28">
      <x:c r="A28" s="4" t="s">
        <x:v>193</x:v>
      </x:c>
      <x:c r="B28" s="4" t="s">
        <x:v>180</x:v>
      </x:c>
      <x:c r="C28" s="4" t="s">
        <x:v>194</x:v>
      </x:c>
      <x:c r="D28" s="4" t="s">
        <x:v>195</x:v>
      </x:c>
      <x:c r="E28" s="4" t="s">
        <x:v>81</x:v>
      </x:c>
      <x:c r="F28" s="4" t="s">
        <x:v>82</x:v>
      </x:c>
      <x:c r="G28" s="4" t="s">
        <x:v>13</x:v>
      </x:c>
      <x:c r="H28" s="4" t="s">
        <x:v>185</x:v>
      </x:c>
      <x:c r="I28" s="4" t="s">
        <x:v>196</x:v>
      </x:c>
      <x:c r="J28" s="4">
        <x:v>1.5</x:v>
      </x:c>
      <x:c r="K28" s="4" t="str">
        <x:v>已完成</x:v>
      </x:c>
    </x:row>
    <x:row r="29">
      <x:c r="A29" s="4" t="s">
        <x:v>197</x:v>
      </x:c>
      <x:c r="B29" s="4" t="s">
        <x:v>198</x:v>
      </x:c>
      <x:c r="C29" s="4" t="s">
        <x:v>199</x:v>
      </x:c>
      <x:c r="D29" s="4" t="s">
        <x:v>200</x:v>
      </x:c>
      <x:c r="E29" s="4" t="s">
        <x:v>81</x:v>
      </x:c>
      <x:c r="F29" s="4" t="s">
        <x:v>82</x:v>
      </x:c>
      <x:c r="G29" s="4" t="s">
        <x:v>13</x:v>
      </x:c>
      <x:c r="H29" s="4" t="s">
        <x:v>201</x:v>
      </x:c>
      <x:c r="I29" s="4" t="s">
        <x:v>202</x:v>
      </x:c>
      <x:c r="J29" s="4">
        <x:v>1.5</x:v>
      </x:c>
      <x:c r="K29" s="4" t="str">
        <x:v>已完成</x:v>
      </x:c>
    </x:row>
    <x:row r="30">
      <x:c r="A30" s="4" t="s">
        <x:v>203</x:v>
      </x:c>
      <x:c r="B30" s="4" t="s">
        <x:v>198</x:v>
      </x:c>
      <x:c r="C30" s="4" t="s">
        <x:v>204</x:v>
      </x:c>
      <x:c r="D30" s="4" t="s">
        <x:v>205</x:v>
      </x:c>
      <x:c r="E30" s="4" t="s">
        <x:v>81</x:v>
      </x:c>
      <x:c r="F30" s="4" t="s">
        <x:v>82</x:v>
      </x:c>
      <x:c r="G30" s="4" t="s">
        <x:v>13</x:v>
      </x:c>
      <x:c r="H30" s="4" t="s">
        <x:v>197</x:v>
      </x:c>
      <x:c r="I30" s="4" t="s">
        <x:v>196</x:v>
      </x:c>
      <x:c r="J30" s="4">
        <x:v>1</x:v>
      </x:c>
      <x:c r="K30" s="4" t="str">
        <x:v>已完成</x:v>
      </x:c>
    </x:row>
    <x:row r="31">
      <x:c r="A31" s="4" t="s">
        <x:v>206</x:v>
      </x:c>
      <x:c r="B31" s="4" t="s">
        <x:v>207</x:v>
      </x:c>
      <x:c r="C31" s="4" t="s">
        <x:v>208</x:v>
      </x:c>
      <x:c r="D31" s="4" t="s">
        <x:v>209</x:v>
      </x:c>
      <x:c r="E31" s="4" t="s">
        <x:v>119</x:v>
      </x:c>
      <x:c r="F31" s="4" t="s">
        <x:v>82</x:v>
      </x:c>
      <x:c r="G31" s="4" t="s">
        <x:v>13</x:v>
      </x:c>
      <x:c r="H31" s="4" t="s">
        <x:v>210</x:v>
      </x:c>
      <x:c r="I31" s="4" t="s">
        <x:v>211</x:v>
      </x:c>
      <x:c r="J31" s="4">
        <x:v>2</x:v>
      </x:c>
      <x:c r="K31" s="4" t="str">
        <x:v>已完成</x:v>
      </x:c>
    </x:row>
    <x:row r="32">
      <x:c r="A32" s="4" t="s">
        <x:v>212</x:v>
      </x:c>
      <x:c r="B32" s="4" t="s">
        <x:v>207</x:v>
      </x:c>
      <x:c r="C32" s="4" t="s">
        <x:v>213</x:v>
      </x:c>
      <x:c r="D32" s="4" t="s">
        <x:v>214</x:v>
      </x:c>
      <x:c r="E32" s="4" t="s">
        <x:v>119</x:v>
      </x:c>
      <x:c r="F32" s="4" t="s">
        <x:v>82</x:v>
      </x:c>
      <x:c r="G32" s="4" t="s">
        <x:v>13</x:v>
      </x:c>
      <x:c r="H32" s="4" t="s">
        <x:v>206</x:v>
      </x:c>
      <x:c r="I32" s="4" t="s">
        <x:v>215</x:v>
      </x:c>
      <x:c r="J32" s="4">
        <x:v>2.5</x:v>
      </x:c>
      <x:c r="K32" s="11" t="str">
        <x:v>进行中</x:v>
      </x:c>
    </x:row>
    <x:row r="33">
      <x:c r="A33" s="4" t="s">
        <x:v>216</x:v>
      </x:c>
      <x:c r="B33" s="4" t="s">
        <x:v>217</x:v>
      </x:c>
      <x:c r="C33" s="4" t="s">
        <x:v>218</x:v>
      </x:c>
      <x:c r="D33" s="4" t="s">
        <x:v>219</x:v>
      </x:c>
      <x:c r="E33" s="4" t="s">
        <x:v>119</x:v>
      </x:c>
      <x:c r="F33" s="4" t="s">
        <x:v>82</x:v>
      </x:c>
      <x:c r="G33" s="4" t="s">
        <x:v>13</x:v>
      </x:c>
      <x:c r="H33" s="4" t="s">
        <x:v>220</x:v>
      </x:c>
      <x:c r="I33" s="4" t="s">
        <x:v>221</x:v>
      </x:c>
      <x:c r="J33" s="4">
        <x:v>2</x:v>
      </x:c>
      <x:c r="K33" s="4" t="str">
        <x:v>已完成</x:v>
      </x:c>
    </x:row>
    <x:row r="34">
      <x:c r="A34" s="4" t="s">
        <x:v>222</x:v>
      </x:c>
      <x:c r="B34" s="4" t="s">
        <x:v>223</x:v>
      </x:c>
      <x:c r="C34" s="4" t="s">
        <x:v>224</x:v>
      </x:c>
      <x:c r="D34" s="4" t="s">
        <x:v>225</x:v>
      </x:c>
      <x:c r="E34" s="4" t="s">
        <x:v>119</x:v>
      </x:c>
      <x:c r="F34" s="4" t="s">
        <x:v>82</x:v>
      </x:c>
      <x:c r="G34" s="4" t="s">
        <x:v>13</x:v>
      </x:c>
      <x:c r="H34" s="4" t="s">
        <x:v>115</x:v>
      </x:c>
      <x:c r="I34" s="4" t="s">
        <x:v>226</x:v>
      </x:c>
      <x:c r="J34" s="4">
        <x:v>2</x:v>
      </x:c>
      <x:c r="K34" s="4" t="str">
        <x:v>已完成</x:v>
      </x:c>
    </x:row>
    <x:row r="35">
      <x:c r="A35" s="4" t="s">
        <x:v>227</x:v>
      </x:c>
      <x:c r="B35" s="4" t="s">
        <x:v>127</x:v>
      </x:c>
      <x:c r="C35" s="4" t="s">
        <x:v>228</x:v>
      </x:c>
      <x:c r="D35" s="4" t="s">
        <x:v>229</x:v>
      </x:c>
      <x:c r="E35" s="4" t="s">
        <x:v>119</x:v>
      </x:c>
      <x:c r="F35" s="4" t="s">
        <x:v>82</x:v>
      </x:c>
      <x:c r="G35" s="4" t="s">
        <x:v>13</x:v>
      </x:c>
      <x:c r="H35" s="4" t="s">
        <x:v>126</x:v>
      </x:c>
      <x:c r="I35" s="4" t="s">
        <x:v>230</x:v>
      </x:c>
      <x:c r="J35" s="4">
        <x:v>2</x:v>
      </x:c>
      <x:c r="K35" s="4" t="s">
        <x:v>231</x:v>
      </x:c>
    </x:row>
    <x:row r="36">
      <x:c r="A36" s="4" t="s">
        <x:v>232</x:v>
      </x:c>
      <x:c r="B36" s="4" t="s">
        <x:v>127</x:v>
      </x:c>
      <x:c r="C36" s="4" t="s">
        <x:v>233</x:v>
      </x:c>
      <x:c r="D36" s="4" t="s">
        <x:v>234</x:v>
      </x:c>
      <x:c r="E36" s="4" t="s">
        <x:v>119</x:v>
      </x:c>
      <x:c r="F36" s="4" t="s">
        <x:v>82</x:v>
      </x:c>
      <x:c r="G36" s="4" t="s">
        <x:v>13</x:v>
      </x:c>
      <x:c r="H36" s="4" t="s">
        <x:v>235</x:v>
      </x:c>
      <x:c r="I36" s="4" t="s">
        <x:v>236</x:v>
      </x:c>
      <x:c r="J36" s="4">
        <x:v>2</x:v>
      </x:c>
      <x:c r="K36" s="11" t="str">
        <x:v>进行中</x:v>
      </x:c>
    </x:row>
    <x:row r="37">
      <x:c r="A37" s="4" t="s">
        <x:v>237</x:v>
      </x:c>
      <x:c r="B37" s="4" t="s">
        <x:v>137</x:v>
      </x:c>
      <x:c r="C37" s="4" t="s">
        <x:v>238</x:v>
      </x:c>
      <x:c r="D37" s="4" t="s">
        <x:v>239</x:v>
      </x:c>
      <x:c r="E37" s="4" t="s">
        <x:v>119</x:v>
      </x:c>
      <x:c r="F37" s="4" t="s">
        <x:v>82</x:v>
      </x:c>
      <x:c r="G37" s="4" t="s">
        <x:v>240</x:v>
      </x:c>
      <x:c r="H37" s="4" t="s">
        <x:v>136</x:v>
      </x:c>
      <x:c r="I37" s="4" t="s">
        <x:v>241</x:v>
      </x:c>
      <x:c r="J37" s="4">
        <x:v>1.5</x:v>
      </x:c>
      <x:c r="K37" s="4" t="str">
        <x:v>已完成</x:v>
      </x:c>
    </x:row>
    <x:row r="38">
      <x:c r="A38" s="4" t="s">
        <x:v>242</x:v>
      </x:c>
      <x:c r="B38" s="4" t="s">
        <x:v>162</x:v>
      </x:c>
      <x:c r="C38" s="4" t="s">
        <x:v>243</x:v>
      </x:c>
      <x:c r="D38" s="4" t="s">
        <x:v>244</x:v>
      </x:c>
      <x:c r="E38" s="4" t="s">
        <x:v>81</x:v>
      </x:c>
      <x:c r="F38" s="4" t="s">
        <x:v>82</x:v>
      </x:c>
      <x:c r="G38" s="4" t="s">
        <x:v>240</x:v>
      </x:c>
      <x:c r="H38" s="4" t="s">
        <x:v>245</x:v>
      </x:c>
      <x:c r="I38" s="4" t="s">
        <x:v>246</x:v>
      </x:c>
      <x:c r="J38" s="4">
        <x:v>2</x:v>
      </x:c>
      <x:c r="K38" s="4" t="str">
        <x:v>已完成</x:v>
      </x:c>
    </x:row>
    <x:row r="39">
      <x:c r="A39" s="4" t="s">
        <x:v>247</x:v>
      </x:c>
      <x:c r="B39" s="4" t="s">
        <x:v>198</x:v>
      </x:c>
      <x:c r="C39" s="4" t="s">
        <x:v>248</x:v>
      </x:c>
      <x:c r="D39" s="4" t="s">
        <x:v>249</x:v>
      </x:c>
      <x:c r="E39" s="4" t="s">
        <x:v>81</x:v>
      </x:c>
      <x:c r="F39" s="4" t="s">
        <x:v>82</x:v>
      </x:c>
      <x:c r="G39" s="4" t="s">
        <x:v>240</x:v>
      </x:c>
      <x:c r="H39" s="4" t="s">
        <x:v>250</x:v>
      </x:c>
      <x:c r="I39" s="4" t="s">
        <x:v>251</x:v>
      </x:c>
      <x:c r="J39" s="4">
        <x:v>2</x:v>
      </x:c>
      <x:c r="K39" s="4" t="str">
        <x:v>已完成</x:v>
      </x:c>
    </x:row>
    <x:row r="40">
      <x:c r="A40" s="4" t="s">
        <x:v>252</x:v>
      </x:c>
      <x:c r="B40" s="4" t="s">
        <x:v>217</x:v>
      </x:c>
      <x:c r="C40" s="4" t="s">
        <x:v>253</x:v>
      </x:c>
      <x:c r="D40" s="4" t="s">
        <x:v>254</x:v>
      </x:c>
      <x:c r="E40" s="4" t="s">
        <x:v>119</x:v>
      </x:c>
      <x:c r="F40" s="4" t="s">
        <x:v>82</x:v>
      </x:c>
      <x:c r="G40" s="4" t="s">
        <x:v>240</x:v>
      </x:c>
      <x:c r="H40" s="4" t="s">
        <x:v>216</x:v>
      </x:c>
      <x:c r="I40" s="4" t="s">
        <x:v>255</x:v>
      </x:c>
      <x:c r="J40" s="4">
        <x:v>2.5</x:v>
      </x:c>
      <x:c r="K40" s="11" t="str">
        <x:v>进行中</x:v>
      </x:c>
    </x:row>
    <x:row r="41">
      <x:c r="A41" s="4" t="s">
        <x:v>256</x:v>
      </x:c>
      <x:c r="B41" s="4" t="s">
        <x:v>257</x:v>
      </x:c>
      <x:c r="C41" s="4" t="s">
        <x:v>258</x:v>
      </x:c>
      <x:c r="D41" s="4" t="s">
        <x:v>259</x:v>
      </x:c>
      <x:c r="E41" s="4" t="s">
        <x:v>119</x:v>
      </x:c>
      <x:c r="F41" s="4" t="s">
        <x:v>82</x:v>
      </x:c>
      <x:c r="G41" s="4" t="s">
        <x:v>240</x:v>
      </x:c>
      <x:c r="H41" s="4" t="s">
        <x:v>260</x:v>
      </x:c>
      <x:c r="I41" s="4" t="s">
        <x:v>261</x:v>
      </x:c>
      <x:c r="J41" s="4">
        <x:v>2.5</x:v>
      </x:c>
      <x:c r="K41" s="4" t="str">
        <x:v>已完成</x:v>
      </x:c>
    </x:row>
    <x:row r="42">
      <x:c r="A42" s="4" t="s">
        <x:v>262</x:v>
      </x:c>
      <x:c r="B42" s="4" t="s">
        <x:v>137</x:v>
      </x:c>
      <x:c r="C42" s="4" t="s">
        <x:v>263</x:v>
      </x:c>
      <x:c r="D42" s="4" t="s">
        <x:v>264</x:v>
      </x:c>
      <x:c r="E42" s="4" t="s">
        <x:v>119</x:v>
      </x:c>
      <x:c r="F42" s="4" t="s">
        <x:v>265</x:v>
      </x:c>
      <x:c r="G42" s="4" t="s">
        <x:v>18</x:v>
      </x:c>
      <x:c r="H42" s="4" t="s">
        <x:v>136</x:v>
      </x:c>
      <x:c r="I42" s="4" t="s">
        <x:v>266</x:v>
      </x:c>
      <x:c r="J42" s="4">
        <x:v>1</x:v>
      </x:c>
      <x:c r="K42" s="4" t="str">
        <x:v>已完成</x:v>
      </x:c>
    </x:row>
    <x:row r="43">
      <x:c r="A43" s="4" t="s">
        <x:v>267</x:v>
      </x:c>
      <x:c r="B43" s="4" t="s">
        <x:v>162</x:v>
      </x:c>
      <x:c r="C43" s="4" t="s">
        <x:v>268</x:v>
      </x:c>
      <x:c r="D43" s="4" t="s">
        <x:v>269</x:v>
      </x:c>
      <x:c r="E43" s="4" t="s">
        <x:v>81</x:v>
      </x:c>
      <x:c r="F43" s="4" t="s">
        <x:v>265</x:v>
      </x:c>
      <x:c r="G43" s="4" t="s">
        <x:v>18</x:v>
      </x:c>
      <x:c r="H43" s="4" t="s">
        <x:v>242</x:v>
      </x:c>
      <x:c r="I43" s="4" t="s">
        <x:v>270</x:v>
      </x:c>
      <x:c r="J43" s="4">
        <x:v>1.5</x:v>
      </x:c>
      <x:c r="K43" s="11" t="str">
        <x:v>进行中</x:v>
      </x:c>
    </x:row>
    <x:row r="44">
      <x:c r="A44" s="4" t="s">
        <x:v>271</x:v>
      </x:c>
      <x:c r="B44" s="4" t="s">
        <x:v>180</x:v>
      </x:c>
      <x:c r="C44" s="4" t="s">
        <x:v>272</x:v>
      </x:c>
      <x:c r="D44" s="4" t="s">
        <x:v>273</x:v>
      </x:c>
      <x:c r="E44" s="4" t="s">
        <x:v>81</x:v>
      </x:c>
      <x:c r="F44" s="4" t="s">
        <x:v>82</x:v>
      </x:c>
      <x:c r="G44" s="4" t="s">
        <x:v>18</x:v>
      </x:c>
      <x:c r="H44" s="4" t="s">
        <x:v>274</x:v>
      </x:c>
      <x:c r="I44" s="4" t="s">
        <x:v>275</x:v>
      </x:c>
      <x:c r="J44" s="4">
        <x:v>2</x:v>
      </x:c>
      <x:c r="K44" s="4" t="str">
        <x:v>已完成</x:v>
      </x:c>
    </x:row>
    <x:row r="45">
      <x:c r="A45" s="4" t="s">
        <x:v>276</x:v>
      </x:c>
      <x:c r="B45" s="4" t="s">
        <x:v>180</x:v>
      </x:c>
      <x:c r="C45" s="4" t="s">
        <x:v>277</x:v>
      </x:c>
      <x:c r="D45" s="4" t="s">
        <x:v>278</x:v>
      </x:c>
      <x:c r="E45" s="4" t="s">
        <x:v>81</x:v>
      </x:c>
      <x:c r="F45" s="4" t="s">
        <x:v>265</x:v>
      </x:c>
      <x:c r="G45" s="4" t="s">
        <x:v>18</x:v>
      </x:c>
      <x:c r="H45" s="4" t="s">
        <x:v>271</x:v>
      </x:c>
      <x:c r="I45" s="4" t="s">
        <x:v>279</x:v>
      </x:c>
      <x:c r="J45" s="4">
        <x:v>1.5</x:v>
      </x:c>
      <x:c r="K45" s="11" t="str">
        <x:v>进行中</x:v>
      </x:c>
    </x:row>
    <x:row r="46">
      <x:c r="A46" s="4" t="s">
        <x:v>280</x:v>
      </x:c>
      <x:c r="B46" s="4" t="s">
        <x:v>281</x:v>
      </x:c>
      <x:c r="C46" s="4" t="s">
        <x:v>282</x:v>
      </x:c>
      <x:c r="D46" s="4" t="s">
        <x:v>283</x:v>
      </x:c>
      <x:c r="E46" s="4" t="s">
        <x:v>81</x:v>
      </x:c>
      <x:c r="F46" s="4" t="s">
        <x:v>82</x:v>
      </x:c>
      <x:c r="G46" s="4" t="s">
        <x:v>18</x:v>
      </x:c>
      <x:c r="H46" s="4" t="s">
        <x:v>284</x:v>
      </x:c>
      <x:c r="I46" s="4" t="s">
        <x:v>285</x:v>
      </x:c>
      <x:c r="J46" s="4">
        <x:v>1.5</x:v>
      </x:c>
      <x:c r="K46" s="11" t="str">
        <x:v>进行中</x:v>
      </x:c>
    </x:row>
    <x:row r="47">
      <x:c r="A47" s="4" t="s">
        <x:v>286</x:v>
      </x:c>
      <x:c r="B47" s="4" t="s">
        <x:v>281</x:v>
      </x:c>
      <x:c r="C47" s="4" t="s">
        <x:v>287</x:v>
      </x:c>
      <x:c r="D47" s="4" t="s">
        <x:v>288</x:v>
      </x:c>
      <x:c r="E47" s="4" t="s">
        <x:v>81</x:v>
      </x:c>
      <x:c r="F47" s="4" t="s">
        <x:v>265</x:v>
      </x:c>
      <x:c r="G47" s="4" t="s">
        <x:v>18</x:v>
      </x:c>
      <x:c r="H47" s="4" t="s">
        <x:v>280</x:v>
      </x:c>
      <x:c r="I47" s="4" t="s">
        <x:v>289</x:v>
      </x:c>
      <x:c r="J47" s="4">
        <x:v>1</x:v>
      </x:c>
      <x:c r="K47" s="4" t="str">
        <x:v>已完成</x:v>
      </x:c>
    </x:row>
    <x:row r="48">
      <x:c r="A48" s="4" t="s">
        <x:v>290</x:v>
      </x:c>
      <x:c r="B48" s="4" t="s">
        <x:v>291</x:v>
      </x:c>
      <x:c r="C48" s="4" t="s">
        <x:v>292</x:v>
      </x:c>
      <x:c r="D48" s="4" t="s">
        <x:v>293</x:v>
      </x:c>
      <x:c r="E48" s="4" t="s">
        <x:v>81</x:v>
      </x:c>
      <x:c r="F48" s="4" t="s">
        <x:v>265</x:v>
      </x:c>
      <x:c r="G48" s="4" t="s">
        <x:v>18</x:v>
      </x:c>
      <x:c r="H48" s="4" t="s">
        <x:v>294</x:v>
      </x:c>
      <x:c r="I48" s="4" t="s">
        <x:v>295</x:v>
      </x:c>
      <x:c r="J48" s="4">
        <x:v>1.5</x:v>
      </x:c>
      <x:c r="K48" s="4" t="str">
        <x:v>已完成</x:v>
      </x:c>
    </x:row>
    <x:row r="49">
      <x:c r="A49" s="4" t="s">
        <x:v>296</x:v>
      </x:c>
      <x:c r="B49" s="4" t="s">
        <x:v>291</x:v>
      </x:c>
      <x:c r="C49" s="4" t="s">
        <x:v>297</x:v>
      </x:c>
      <x:c r="D49" s="4" t="s">
        <x:v>298</x:v>
      </x:c>
      <x:c r="E49" s="4" t="s">
        <x:v>81</x:v>
      </x:c>
      <x:c r="F49" s="4" t="s">
        <x:v>265</x:v>
      </x:c>
      <x:c r="G49" s="4" t="s">
        <x:v>18</x:v>
      </x:c>
      <x:c r="H49" s="4" t="s">
        <x:v>299</x:v>
      </x:c>
      <x:c r="I49" s="4" t="s">
        <x:v>300</x:v>
      </x:c>
      <x:c r="J49" s="4">
        <x:v>1.5</x:v>
      </x:c>
      <x:c r="K49" s="4" t="str">
        <x:v>已完成</x:v>
      </x:c>
    </x:row>
    <x:row r="50">
      <x:c r="A50" s="4" t="s">
        <x:v>301</x:v>
      </x:c>
      <x:c r="B50" s="4" t="s">
        <x:v>302</x:v>
      </x:c>
      <x:c r="C50" s="4" t="s">
        <x:v>303</x:v>
      </x:c>
      <x:c r="D50" s="4" t="s">
        <x:v>304</x:v>
      </x:c>
      <x:c r="E50" s="4" t="s">
        <x:v>81</x:v>
      </x:c>
      <x:c r="F50" s="4" t="s">
        <x:v>265</x:v>
      </x:c>
      <x:c r="G50" s="4" t="s">
        <x:v>18</x:v>
      </x:c>
      <x:c r="H50" s="4" t="s">
        <x:v>305</x:v>
      </x:c>
      <x:c r="I50" s="4" t="s">
        <x:v>306</x:v>
      </x:c>
      <x:c r="J50" s="4">
        <x:v>2</x:v>
      </x:c>
      <x:c r="K50" s="4" t="str">
        <x:v>已完成</x:v>
      </x:c>
    </x:row>
    <x:row r="51">
      <x:c r="A51" s="4" t="s">
        <x:v>307</x:v>
      </x:c>
      <x:c r="B51" s="4" t="s">
        <x:v>308</x:v>
      </x:c>
      <x:c r="C51" s="4" t="s">
        <x:v>309</x:v>
      </x:c>
      <x:c r="D51" s="4" t="s">
        <x:v>310</x:v>
      </x:c>
      <x:c r="E51" s="4" t="s">
        <x:v>81</x:v>
      </x:c>
      <x:c r="F51" s="4" t="s">
        <x:v>82</x:v>
      </x:c>
      <x:c r="G51" s="4" t="s">
        <x:v>18</x:v>
      </x:c>
      <x:c r="H51" s="4" t="s">
        <x:v>311</x:v>
      </x:c>
      <x:c r="I51" s="4" t="s">
        <x:v>312</x:v>
      </x:c>
      <x:c r="J51" s="4">
        <x:v>1.5</x:v>
      </x:c>
      <x:c r="K51" s="4" t="str">
        <x:v>已完成</x:v>
      </x:c>
    </x:row>
    <x:row r="52">
      <x:c r="A52" s="4" t="s">
        <x:v>313</x:v>
      </x:c>
      <x:c r="B52" s="4" t="s">
        <x:v>308</x:v>
      </x:c>
      <x:c r="C52" s="4" t="s">
        <x:v>314</x:v>
      </x:c>
      <x:c r="D52" s="4" t="s">
        <x:v>315</x:v>
      </x:c>
      <x:c r="E52" s="4" t="s">
        <x:v>81</x:v>
      </x:c>
      <x:c r="F52" s="4" t="s">
        <x:v>265</x:v>
      </x:c>
      <x:c r="G52" s="4" t="s">
        <x:v>18</x:v>
      </x:c>
      <x:c r="H52" s="4" t="s">
        <x:v>307</x:v>
      </x:c>
      <x:c r="I52" s="4" t="s">
        <x:v>316</x:v>
      </x:c>
      <x:c r="J52" s="4">
        <x:v>1</x:v>
      </x:c>
      <x:c r="K52" s="4" t="str">
        <x:v>已完成</x:v>
      </x:c>
    </x:row>
    <x:row r="53">
      <x:c r="A53" s="4" t="s">
        <x:v>317</x:v>
      </x:c>
      <x:c r="B53" s="4" t="s">
        <x:v>308</x:v>
      </x:c>
      <x:c r="C53" s="4" t="s">
        <x:v>318</x:v>
      </x:c>
      <x:c r="D53" s="4" t="s">
        <x:v>319</x:v>
      </x:c>
      <x:c r="E53" s="4" t="s">
        <x:v>81</x:v>
      </x:c>
      <x:c r="F53" s="4" t="s">
        <x:v>82</x:v>
      </x:c>
      <x:c r="G53" s="4" t="s">
        <x:v>18</x:v>
      </x:c>
      <x:c r="H53" s="4" t="s">
        <x:v>307</x:v>
      </x:c>
      <x:c r="I53" s="4" t="s">
        <x:v>320</x:v>
      </x:c>
      <x:c r="J53" s="4">
        <x:v>1.5</x:v>
      </x:c>
      <x:c r="K53" s="4" t="str">
        <x:v>已完成</x:v>
      </x:c>
    </x:row>
    <x:row r="54">
      <x:c r="A54" s="4" t="s">
        <x:v>321</x:v>
      </x:c>
      <x:c r="B54" s="4" t="s">
        <x:v>322</x:v>
      </x:c>
      <x:c r="C54" s="4" t="s">
        <x:v>323</x:v>
      </x:c>
      <x:c r="D54" s="4" t="s">
        <x:v>324</x:v>
      </x:c>
      <x:c r="E54" s="4" t="s">
        <x:v>81</x:v>
      </x:c>
      <x:c r="F54" s="4" t="s">
        <x:v>265</x:v>
      </x:c>
      <x:c r="G54" s="4" t="s">
        <x:v>18</x:v>
      </x:c>
      <x:c r="H54" s="4" t="s">
        <x:v>325</x:v>
      </x:c>
      <x:c r="I54" s="4" t="s">
        <x:v>326</x:v>
      </x:c>
      <x:c r="J54" s="4">
        <x:v>1.5</x:v>
      </x:c>
      <x:c r="K54" s="4" t="str">
        <x:v>已完成</x:v>
      </x:c>
    </x:row>
    <x:row r="55">
      <x:c r="A55" s="4" t="s">
        <x:v>327</x:v>
      </x:c>
      <x:c r="B55" s="4" t="s">
        <x:v>207</x:v>
      </x:c>
      <x:c r="C55" s="4" t="s">
        <x:v>328</x:v>
      </x:c>
      <x:c r="D55" s="4" t="s">
        <x:v>329</x:v>
      </x:c>
      <x:c r="E55" s="4" t="s">
        <x:v>119</x:v>
      </x:c>
      <x:c r="F55" s="4" t="s">
        <x:v>82</x:v>
      </x:c>
      <x:c r="G55" s="4" t="s">
        <x:v>18</x:v>
      </x:c>
      <x:c r="H55" s="4" t="s">
        <x:v>206</x:v>
      </x:c>
      <x:c r="I55" s="4" t="s">
        <x:v>330</x:v>
      </x:c>
      <x:c r="J55" s="4">
        <x:v>2</x:v>
      </x:c>
      <x:c r="K55" s="11" t="str">
        <x:v>进行中</x:v>
      </x:c>
    </x:row>
    <x:row r="56">
      <x:c r="A56" s="4" t="s">
        <x:v>331</x:v>
      </x:c>
      <x:c r="B56" s="4" t="s">
        <x:v>217</x:v>
      </x:c>
      <x:c r="C56" s="4" t="s">
        <x:v>332</x:v>
      </x:c>
      <x:c r="D56" s="4" t="s">
        <x:v>333</x:v>
      </x:c>
      <x:c r="E56" s="4" t="s">
        <x:v>119</x:v>
      </x:c>
      <x:c r="F56" s="4" t="s">
        <x:v>82</x:v>
      </x:c>
      <x:c r="G56" s="4" t="s">
        <x:v>18</x:v>
      </x:c>
      <x:c r="H56" s="4" t="s">
        <x:v>216</x:v>
      </x:c>
      <x:c r="I56" s="4" t="s">
        <x:v>334</x:v>
      </x:c>
      <x:c r="J56" s="4">
        <x:v>2</x:v>
      </x:c>
      <x:c r="K56" s="11" t="str">
        <x:v>进行中</x:v>
      </x:c>
    </x:row>
    <x:row r="57">
      <x:c r="A57" s="4" t="s">
        <x:v>335</x:v>
      </x:c>
      <x:c r="B57" s="4" t="s">
        <x:v>336</x:v>
      </x:c>
      <x:c r="C57" s="4" t="s">
        <x:v>337</x:v>
      </x:c>
      <x:c r="D57" s="4" t="s">
        <x:v>338</x:v>
      </x:c>
      <x:c r="E57" s="4" t="s">
        <x:v>119</x:v>
      </x:c>
      <x:c r="F57" s="4" t="s">
        <x:v>82</x:v>
      </x:c>
      <x:c r="G57" s="4" t="s">
        <x:v>18</x:v>
      </x:c>
      <x:c r="H57" s="4" t="s">
        <x:v>339</x:v>
      </x:c>
      <x:c r="I57" s="4" t="s">
        <x:v>340</x:v>
      </x:c>
      <x:c r="J57" s="4">
        <x:v>1.5</x:v>
      </x:c>
      <x:c r="K57" s="4" t="str">
        <x:v>已完成</x:v>
      </x:c>
    </x:row>
    <x:row r="58">
      <x:c r="A58" s="4" t="s">
        <x:v>341</x:v>
      </x:c>
      <x:c r="B58" s="4" t="s">
        <x:v>336</x:v>
      </x:c>
      <x:c r="C58" s="4" t="s">
        <x:v>342</x:v>
      </x:c>
      <x:c r="D58" s="4" t="s">
        <x:v>343</x:v>
      </x:c>
      <x:c r="E58" s="4" t="s">
        <x:v>119</x:v>
      </x:c>
      <x:c r="F58" s="4" t="s">
        <x:v>82</x:v>
      </x:c>
      <x:c r="G58" s="4" t="s">
        <x:v>18</x:v>
      </x:c>
      <x:c r="H58" s="4" t="s">
        <x:v>335</x:v>
      </x:c>
      <x:c r="I58" s="4" t="s">
        <x:v>344</x:v>
      </x:c>
      <x:c r="J58" s="4">
        <x:v>1.5</x:v>
      </x:c>
      <x:c r="K58" s="11" t="str">
        <x:v>进行中</x:v>
      </x:c>
    </x:row>
    <x:row r="59">
      <x:c r="A59" s="4" t="s">
        <x:v>345</x:v>
      </x:c>
      <x:c r="B59" s="4" t="s">
        <x:v>116</x:v>
      </x:c>
      <x:c r="C59" s="4" t="s">
        <x:v>346</x:v>
      </x:c>
      <x:c r="D59" s="4" t="s">
        <x:v>347</x:v>
      </x:c>
      <x:c r="E59" s="4" t="s">
        <x:v>119</x:v>
      </x:c>
      <x:c r="F59" s="4" t="s">
        <x:v>348</x:v>
      </x:c>
      <x:c r="G59" s="4" t="s">
        <x:v>349</x:v>
      </x:c>
      <x:c r="H59" s="4" t="s">
        <x:v>115</x:v>
      </x:c>
      <x:c r="I59" s="4" t="s">
        <x:v>350</x:v>
      </x:c>
      <x:c r="J59" s="4">
        <x:v>1.5</x:v>
      </x:c>
      <x:c r="K59" s="4" t="str">
        <x:v>已完成</x:v>
      </x:c>
    </x:row>
    <x:row r="60">
      <x:c r="A60" s="4" t="s">
        <x:v>351</x:v>
      </x:c>
      <x:c r="B60" s="4" t="s">
        <x:v>352</x:v>
      </x:c>
      <x:c r="C60" s="4" t="s">
        <x:v>353</x:v>
      </x:c>
      <x:c r="D60" s="4" t="s">
        <x:v>354</x:v>
      </x:c>
      <x:c r="E60" s="4" t="s">
        <x:v>119</x:v>
      </x:c>
      <x:c r="F60" s="4" t="s">
        <x:v>265</x:v>
      </x:c>
      <x:c r="G60" s="4" t="s">
        <x:v>349</x:v>
      </x:c>
      <x:c r="H60" s="4" t="s">
        <x:v>355</x:v>
      </x:c>
      <x:c r="I60" s="4" t="s">
        <x:v>356</x:v>
      </x:c>
      <x:c r="J60" s="4">
        <x:v>1.5</x:v>
      </x:c>
      <x:c r="K60" s="4" t="str">
        <x:v>已完成</x:v>
      </x:c>
    </x:row>
    <x:row r="61">
      <x:c r="A61" s="4" t="s">
        <x:v>357</x:v>
      </x:c>
      <x:c r="B61" s="4" t="s">
        <x:v>127</x:v>
      </x:c>
      <x:c r="C61" s="4" t="s">
        <x:v>358</x:v>
      </x:c>
      <x:c r="D61" s="4" t="s">
        <x:v>359</x:v>
      </x:c>
      <x:c r="E61" s="4" t="s">
        <x:v>119</x:v>
      </x:c>
      <x:c r="F61" s="4" t="s">
        <x:v>82</x:v>
      </x:c>
      <x:c r="G61" s="4" t="s">
        <x:v>349</x:v>
      </x:c>
      <x:c r="H61" s="4" t="s">
        <x:v>360</x:v>
      </x:c>
      <x:c r="I61" s="4" t="s">
        <x:v>361</x:v>
      </x:c>
      <x:c r="J61" s="4">
        <x:v>2</x:v>
      </x:c>
      <x:c r="K61" s="4" t="s">
        <x:v>231</x:v>
      </x:c>
    </x:row>
    <x:row r="62">
      <x:c r="A62" s="4" t="s">
        <x:v>362</x:v>
      </x:c>
      <x:c r="B62" s="4" t="s">
        <x:v>363</x:v>
      </x:c>
      <x:c r="C62" s="4" t="s">
        <x:v>364</x:v>
      </x:c>
      <x:c r="D62" s="4" t="s">
        <x:v>365</x:v>
      </x:c>
      <x:c r="E62" s="4" t="s">
        <x:v>81</x:v>
      </x:c>
      <x:c r="F62" s="4" t="s">
        <x:v>82</x:v>
      </x:c>
      <x:c r="G62" s="4" t="s">
        <x:v>349</x:v>
      </x:c>
      <x:c r="H62" s="4" t="s">
        <x:v>366</x:v>
      </x:c>
      <x:c r="I62" s="4" t="s">
        <x:v>367</x:v>
      </x:c>
      <x:c r="J62" s="4">
        <x:v>2</x:v>
      </x:c>
      <x:c r="K62" s="11" t="str">
        <x:v>进行中</x:v>
      </x:c>
    </x:row>
    <x:row r="63">
      <x:c r="A63" s="4" t="s">
        <x:v>368</x:v>
      </x:c>
      <x:c r="B63" s="4" t="s">
        <x:v>122</x:v>
      </x:c>
      <x:c r="C63" s="4" t="s">
        <x:v>369</x:v>
      </x:c>
      <x:c r="D63" s="4" t="s">
        <x:v>370</x:v>
      </x:c>
      <x:c r="E63" s="4" t="s">
        <x:v>81</x:v>
      </x:c>
      <x:c r="F63" s="4" t="s">
        <x:v>82</x:v>
      </x:c>
      <x:c r="G63" s="4" t="s">
        <x:v>23</x:v>
      </x:c>
      <x:c r="H63" s="4" t="s">
        <x:v>121</x:v>
      </x:c>
      <x:c r="I63" s="4" t="s">
        <x:v>371</x:v>
      </x:c>
      <x:c r="J63" s="4">
        <x:v>1.5</x:v>
      </x:c>
      <x:c r="K63" s="11" t="str">
        <x:v>进行中</x:v>
      </x:c>
    </x:row>
    <x:row r="64">
      <x:c r="A64" s="4" t="s">
        <x:v>372</x:v>
      </x:c>
      <x:c r="B64" s="4" t="s">
        <x:v>122</x:v>
      </x:c>
      <x:c r="C64" s="4" t="s">
        <x:v>373</x:v>
      </x:c>
      <x:c r="D64" s="4" t="s">
        <x:v>374</x:v>
      </x:c>
      <x:c r="E64" s="4" t="s">
        <x:v>81</x:v>
      </x:c>
      <x:c r="F64" s="4" t="s">
        <x:v>82</x:v>
      </x:c>
      <x:c r="G64" s="4" t="s">
        <x:v>23</x:v>
      </x:c>
      <x:c r="H64" s="4" t="s">
        <x:v>368</x:v>
      </x:c>
      <x:c r="I64" s="4" t="s">
        <x:v>375</x:v>
      </x:c>
      <x:c r="J64" s="4">
        <x:v>1.5</x:v>
      </x:c>
      <x:c r="K64" s="11" t="str">
        <x:v>进行中</x:v>
      </x:c>
    </x:row>
    <x:row r="65">
      <x:c r="A65" s="4" t="s">
        <x:v>376</x:v>
      </x:c>
      <x:c r="B65" s="4" t="s">
        <x:v>122</x:v>
      </x:c>
      <x:c r="C65" s="4" t="s">
        <x:v>377</x:v>
      </x:c>
      <x:c r="D65" s="4" t="s">
        <x:v>378</x:v>
      </x:c>
      <x:c r="E65" s="4" t="s">
        <x:v>81</x:v>
      </x:c>
      <x:c r="F65" s="4" t="s">
        <x:v>82</x:v>
      </x:c>
      <x:c r="G65" s="4" t="s">
        <x:v>23</x:v>
      </x:c>
      <x:c r="H65" s="4" t="s">
        <x:v>372</x:v>
      </x:c>
      <x:c r="I65" s="4" t="s">
        <x:v>379</x:v>
      </x:c>
      <x:c r="J65" s="4">
        <x:v>2</x:v>
      </x:c>
      <x:c r="K65" s="4" t="str">
        <x:v>阻塞</x:v>
      </x:c>
    </x:row>
    <x:row r="66">
      <x:c r="A66" s="4" t="s">
        <x:v>380</x:v>
      </x:c>
      <x:c r="B66" s="4" t="s">
        <x:v>127</x:v>
      </x:c>
      <x:c r="C66" s="4" t="s">
        <x:v>381</x:v>
      </x:c>
      <x:c r="D66" s="4" t="s">
        <x:v>382</x:v>
      </x:c>
      <x:c r="E66" s="4" t="s">
        <x:v>119</x:v>
      </x:c>
      <x:c r="F66" s="4" t="s">
        <x:v>82</x:v>
      </x:c>
      <x:c r="G66" s="4" t="s">
        <x:v>23</x:v>
      </x:c>
      <x:c r="H66" s="4" t="s">
        <x:v>357</x:v>
      </x:c>
      <x:c r="I66" s="4" t="s">
        <x:v>383</x:v>
      </x:c>
      <x:c r="J66" s="4">
        <x:v>1.5</x:v>
      </x:c>
      <x:c r="K66" s="11" t="str">
        <x:v>进行中</x:v>
      </x:c>
    </x:row>
    <x:row r="67">
      <x:c r="A67" s="4" t="s">
        <x:v>384</x:v>
      </x:c>
      <x:c r="B67" s="4" t="s">
        <x:v>127</x:v>
      </x:c>
      <x:c r="C67" s="4" t="s">
        <x:v>385</x:v>
      </x:c>
      <x:c r="D67" s="4" t="s">
        <x:v>386</x:v>
      </x:c>
      <x:c r="E67" s="4" t="s">
        <x:v>119</x:v>
      </x:c>
      <x:c r="F67" s="4" t="s">
        <x:v>82</x:v>
      </x:c>
      <x:c r="G67" s="4" t="s">
        <x:v>23</x:v>
      </x:c>
      <x:c r="H67" s="4" t="s">
        <x:v>387</x:v>
      </x:c>
      <x:c r="I67" s="4" t="s">
        <x:v>388</x:v>
      </x:c>
      <x:c r="J67" s="4">
        <x:v>2</x:v>
      </x:c>
      <x:c r="K67" s="4" t="str">
        <x:v>阻塞</x:v>
      </x:c>
    </x:row>
    <x:row r="68">
      <x:c r="A68" s="4" t="s">
        <x:v>389</x:v>
      </x:c>
      <x:c r="B68" s="4" t="s">
        <x:v>127</x:v>
      </x:c>
      <x:c r="C68" s="4" t="s">
        <x:v>390</x:v>
      </x:c>
      <x:c r="D68" s="4" t="s">
        <x:v>391</x:v>
      </x:c>
      <x:c r="E68" s="4" t="s">
        <x:v>119</x:v>
      </x:c>
      <x:c r="F68" s="4" t="s">
        <x:v>82</x:v>
      </x:c>
      <x:c r="G68" s="4" t="s">
        <x:v>23</x:v>
      </x:c>
      <x:c r="H68" s="4" t="s">
        <x:v>141</x:v>
      </x:c>
      <x:c r="I68" s="4" t="s">
        <x:v>392</x:v>
      </x:c>
      <x:c r="J68" s="4">
        <x:v>1</x:v>
      </x:c>
      <x:c r="K68" s="4" t="str">
        <x:v>已完成</x:v>
      </x:c>
    </x:row>
    <x:row r="69">
      <x:c r="A69" s="4" t="s">
        <x:v>393</x:v>
      </x:c>
      <x:c r="B69" s="4" t="s">
        <x:v>363</x:v>
      </x:c>
      <x:c r="C69" s="4" t="s">
        <x:v>394</x:v>
      </x:c>
      <x:c r="D69" s="4" t="s">
        <x:v>395</x:v>
      </x:c>
      <x:c r="E69" s="4" t="s">
        <x:v>81</x:v>
      </x:c>
      <x:c r="F69" s="4" t="s">
        <x:v>82</x:v>
      </x:c>
      <x:c r="G69" s="4" t="s">
        <x:v>23</x:v>
      </x:c>
      <x:c r="H69" s="4" t="s">
        <x:v>396</x:v>
      </x:c>
      <x:c r="I69" s="4" t="s">
        <x:v>397</x:v>
      </x:c>
      <x:c r="J69" s="4">
        <x:v>2</x:v>
      </x:c>
      <x:c r="K69" s="11" t="str">
        <x:v>进行中</x:v>
      </x:c>
    </x:row>
    <x:row r="70">
      <x:c r="A70" s="4" t="s">
        <x:v>398</x:v>
      </x:c>
      <x:c r="B70" s="4" t="s">
        <x:v>363</x:v>
      </x:c>
      <x:c r="C70" s="4" t="s">
        <x:v>399</x:v>
      </x:c>
      <x:c r="D70" s="4" t="s">
        <x:v>400</x:v>
      </x:c>
      <x:c r="E70" s="4" t="s">
        <x:v>81</x:v>
      </x:c>
      <x:c r="F70" s="4" t="s">
        <x:v>82</x:v>
      </x:c>
      <x:c r="G70" s="4" t="s">
        <x:v>23</x:v>
      </x:c>
      <x:c r="H70" s="4" t="s">
        <x:v>401</x:v>
      </x:c>
      <x:c r="I70" s="4" t="s">
        <x:v>402</x:v>
      </x:c>
      <x:c r="J70" s="4">
        <x:v>1.5</x:v>
      </x:c>
      <x:c r="K70" s="11" t="str">
        <x:v>进行中</x:v>
      </x:c>
    </x:row>
    <x:row r="71">
      <x:c r="A71" s="4" t="s">
        <x:v>403</x:v>
      </x:c>
      <x:c r="B71" s="4" t="s">
        <x:v>404</x:v>
      </x:c>
      <x:c r="C71" s="4" t="s">
        <x:v>405</x:v>
      </x:c>
      <x:c r="D71" s="4" t="s">
        <x:v>406</x:v>
      </x:c>
      <x:c r="E71" s="4" t="s">
        <x:v>81</x:v>
      </x:c>
      <x:c r="F71" s="4" t="s">
        <x:v>82</x:v>
      </x:c>
      <x:c r="G71" s="4" t="s">
        <x:v>407</x:v>
      </x:c>
      <x:c r="H71" s="4" t="s">
        <x:v>85</x:v>
      </x:c>
      <x:c r="I71" s="4" t="s">
        <x:v>408</x:v>
      </x:c>
      <x:c r="J71" s="4">
        <x:v>1.5</x:v>
      </x:c>
      <x:c r="K71" s="4" t="s">
        <x:v>231</x:v>
      </x:c>
    </x:row>
    <x:row r="72">
      <x:c r="A72" s="4" t="s">
        <x:v>409</x:v>
      </x:c>
      <x:c r="B72" s="4" t="s">
        <x:v>404</x:v>
      </x:c>
      <x:c r="C72" s="4" t="s">
        <x:v>410</x:v>
      </x:c>
      <x:c r="D72" s="4" t="s">
        <x:v>411</x:v>
      </x:c>
      <x:c r="E72" s="4" t="s">
        <x:v>119</x:v>
      </x:c>
      <x:c r="F72" s="4" t="s">
        <x:v>82</x:v>
      </x:c>
      <x:c r="G72" s="4" t="s">
        <x:v>407</x:v>
      </x:c>
      <x:c r="H72" s="4" t="s">
        <x:v>126</x:v>
      </x:c>
      <x:c r="I72" s="4" t="s">
        <x:v>412</x:v>
      </x:c>
      <x:c r="J72" s="4">
        <x:v>1.5</x:v>
      </x:c>
      <x:c r="K72" s="4" t="s">
        <x:v>231</x:v>
      </x:c>
    </x:row>
    <x:row r="73">
      <x:c r="A73" s="4" t="s">
        <x:v>413</x:v>
      </x:c>
      <x:c r="B73" s="4" t="s">
        <x:v>414</x:v>
      </x:c>
      <x:c r="C73" s="4" t="s">
        <x:v>415</x:v>
      </x:c>
      <x:c r="D73" s="4" t="s">
        <x:v>416</x:v>
      </x:c>
      <x:c r="E73" s="4" t="s">
        <x:v>81</x:v>
      </x:c>
      <x:c r="F73" s="4" t="s">
        <x:v>265</x:v>
      </x:c>
      <x:c r="G73" s="4" t="s">
        <x:v>407</x:v>
      </x:c>
      <x:c r="H73" s="4" t="s">
        <x:v>393</x:v>
      </x:c>
      <x:c r="I73" s="4" t="s">
        <x:v>417</x:v>
      </x:c>
      <x:c r="J73" s="4">
        <x:v>2</x:v>
      </x:c>
      <x:c r="K73" s="4" t="s">
        <x:v>231</x:v>
      </x:c>
    </x:row>
    <x:row r="74">
      <x:c r="A74" s="4" t="s">
        <x:v>418</x:v>
      </x:c>
      <x:c r="B74" s="4" t="s">
        <x:v>127</x:v>
      </x:c>
      <x:c r="C74" s="4" t="s">
        <x:v>419</x:v>
      </x:c>
      <x:c r="D74" s="4" t="s">
        <x:v>420</x:v>
      </x:c>
      <x:c r="E74" s="4" t="s">
        <x:v>119</x:v>
      </x:c>
      <x:c r="F74" s="4" t="s">
        <x:v>82</x:v>
      </x:c>
      <x:c r="G74" s="4" t="s">
        <x:v>28</x:v>
      </x:c>
      <x:c r="H74" s="4" t="s">
        <x:v>232</x:v>
      </x:c>
      <x:c r="I74" s="4" t="s">
        <x:v>421</x:v>
      </x:c>
      <x:c r="J74" s="4">
        <x:v>1.5</x:v>
      </x:c>
      <x:c r="K74" s="4" t="s">
        <x:v>231</x:v>
      </x:c>
    </x:row>
    <x:row r="75">
      <x:c r="A75" s="4" t="s">
        <x:v>422</x:v>
      </x:c>
      <x:c r="B75" s="4" t="s">
        <x:v>127</x:v>
      </x:c>
      <x:c r="C75" s="4" t="s">
        <x:v>423</x:v>
      </x:c>
      <x:c r="D75" s="4" t="s">
        <x:v>424</x:v>
      </x:c>
      <x:c r="E75" s="4" t="s">
        <x:v>119</x:v>
      </x:c>
      <x:c r="F75" s="4" t="s">
        <x:v>82</x:v>
      </x:c>
      <x:c r="G75" s="4" t="s">
        <x:v>28</x:v>
      </x:c>
      <x:c r="H75" s="4" t="s">
        <x:v>425</x:v>
      </x:c>
      <x:c r="I75" s="4" t="s">
        <x:v>426</x:v>
      </x:c>
      <x:c r="J75" s="4">
        <x:v>2</x:v>
      </x:c>
      <x:c r="K75" s="4" t="s">
        <x:v>231</x:v>
      </x:c>
    </x:row>
    <x:row r="76">
      <x:c r="A76" s="4" t="s">
        <x:v>427</x:v>
      </x:c>
      <x:c r="B76" s="4" t="s">
        <x:v>404</x:v>
      </x:c>
      <x:c r="C76" s="4" t="s">
        <x:v>428</x:v>
      </x:c>
      <x:c r="D76" s="4" t="s">
        <x:v>429</x:v>
      </x:c>
      <x:c r="E76" s="4" t="s">
        <x:v>81</x:v>
      </x:c>
      <x:c r="F76" s="4" t="s">
        <x:v>82</x:v>
      </x:c>
      <x:c r="G76" s="4" t="s">
        <x:v>28</x:v>
      </x:c>
      <x:c r="H76" s="4" t="s">
        <x:v>430</x:v>
      </x:c>
      <x:c r="I76" s="4" t="s">
        <x:v>431</x:v>
      </x:c>
      <x:c r="J76" s="4">
        <x:v>2</x:v>
      </x:c>
      <x:c r="K76" s="4" t="s">
        <x:v>231</x:v>
      </x:c>
    </x:row>
    <x:row r="77" ht="28.5">
      <x:c r="A77" s="4" t="s">
        <x:v>432</x:v>
      </x:c>
      <x:c r="B77" s="4" t="s">
        <x:v>414</x:v>
      </x:c>
      <x:c r="C77" s="4" t="s">
        <x:v>433</x:v>
      </x:c>
      <x:c r="D77" s="4" t="s">
        <x:v>434</x:v>
      </x:c>
      <x:c r="E77" s="4" t="s">
        <x:v>81</x:v>
      </x:c>
      <x:c r="F77" s="4" t="s">
        <x:v>82</x:v>
      </x:c>
      <x:c r="G77" s="4" t="s">
        <x:v>28</x:v>
      </x:c>
      <x:c r="H77" s="4" t="s">
        <x:v>435</x:v>
      </x:c>
      <x:c r="I77" s="4" t="s">
        <x:v>436</x:v>
      </x:c>
      <x:c r="J77" s="4">
        <x:v>3</x:v>
      </x:c>
      <x:c r="K77" s="4" t="s">
        <x:v>231</x:v>
      </x:c>
    </x:row>
    <x:row r="78">
      <x:c r="A78" s="4" t="s">
        <x:v>437</x:v>
      </x:c>
      <x:c r="B78" s="4" t="s">
        <x:v>414</x:v>
      </x:c>
      <x:c r="C78" s="4" t="s">
        <x:v>438</x:v>
      </x:c>
      <x:c r="D78" s="4" t="s">
        <x:v>439</x:v>
      </x:c>
      <x:c r="E78" s="4" t="s">
        <x:v>81</x:v>
      </x:c>
      <x:c r="F78" s="4" t="s">
        <x:v>82</x:v>
      </x:c>
      <x:c r="G78" s="4" t="s">
        <x:v>440</x:v>
      </x:c>
      <x:c r="H78" s="4" t="s">
        <x:v>432</x:v>
      </x:c>
      <x:c r="I78" s="4" t="s">
        <x:v>441</x:v>
      </x:c>
      <x:c r="J78" s="4">
        <x:v>3</x:v>
      </x:c>
      <x:c r="K78" s="4" t="s">
        <x:v>231</x:v>
      </x:c>
    </x:row>
    <x:row r="79">
      <x:c r="A79" s="4" t="s">
        <x:v>442</x:v>
      </x:c>
      <x:c r="B79" s="4" t="s">
        <x:v>443</x:v>
      </x:c>
      <x:c r="C79" s="4" t="s">
        <x:v>444</x:v>
      </x:c>
      <x:c r="D79" s="4" t="s">
        <x:v>445</x:v>
      </x:c>
      <x:c r="E79" s="4" t="s">
        <x:v>81</x:v>
      </x:c>
      <x:c r="F79" s="4" t="s">
        <x:v>82</x:v>
      </x:c>
      <x:c r="G79" s="4" t="s">
        <x:v>446</x:v>
      </x:c>
      <x:c r="H79" s="4" t="s">
        <x:v>432</x:v>
      </x:c>
      <x:c r="I79" s="4" t="s">
        <x:v>447</x:v>
      </x:c>
      <x:c r="J79" s="4">
        <x:v>0.5</x:v>
      </x:c>
      <x:c r="K79" s="4" t="s">
        <x:v>231</x:v>
      </x:c>
    </x:row>
    <x:row r="80">
      <x:c r="A80" s="4" t="s">
        <x:v>448</x:v>
      </x:c>
      <x:c r="B80" s="4" t="s">
        <x:v>443</x:v>
      </x:c>
      <x:c r="C80" s="4" t="s">
        <x:v>449</x:v>
      </x:c>
      <x:c r="D80" s="4" t="s">
        <x:v>450</x:v>
      </x:c>
      <x:c r="E80" s="4" t="s">
        <x:v>119</x:v>
      </x:c>
      <x:c r="F80" s="4" t="s">
        <x:v>82</x:v>
      </x:c>
      <x:c r="G80" s="4" t="s">
        <x:v>33</x:v>
      </x:c>
      <x:c r="H80" s="4" t="s">
        <x:v>451</x:v>
      </x:c>
      <x:c r="I80" s="4" t="s">
        <x:v>452</x:v>
      </x:c>
      <x:c r="J80" s="4">
        <x:v>1</x:v>
      </x:c>
      <x:c r="K80" s="4" t="s">
        <x:v>231</x:v>
      </x:c>
    </x:row>
    <x:row r="81">
      <x:c r="A81" s="4" t="s">
        <x:v>453</x:v>
      </x:c>
      <x:c r="B81" s="4" t="s">
        <x:v>443</x:v>
      </x:c>
      <x:c r="C81" s="4" t="s">
        <x:v>454</x:v>
      </x:c>
      <x:c r="D81" s="4" t="s">
        <x:v>455</x:v>
      </x:c>
      <x:c r="E81" s="4" t="s">
        <x:v>119</x:v>
      </x:c>
      <x:c r="F81" s="4" t="s">
        <x:v>82</x:v>
      </x:c>
      <x:c r="G81" s="4" t="s">
        <x:v>33</x:v>
      </x:c>
      <x:c r="H81" s="4" t="s">
        <x:v>448</x:v>
      </x:c>
      <x:c r="I81" s="4" t="s">
        <x:v>456</x:v>
      </x:c>
      <x:c r="J81" s="4">
        <x:v>1.5</x:v>
      </x:c>
      <x:c r="K81" s="4" t="s">
        <x:v>231</x:v>
      </x:c>
    </x:row>
    <x:row r="82">
      <x:c r="A82" s="4" t="s">
        <x:v>457</x:v>
      </x:c>
      <x:c r="B82" s="4" t="s">
        <x:v>443</x:v>
      </x:c>
      <x:c r="C82" s="4" t="s">
        <x:v>458</x:v>
      </x:c>
      <x:c r="D82" s="4" t="s">
        <x:v>459</x:v>
      </x:c>
      <x:c r="E82" s="4" t="s">
        <x:v>119</x:v>
      </x:c>
      <x:c r="F82" s="4" t="s">
        <x:v>82</x:v>
      </x:c>
      <x:c r="G82" s="4" t="s">
        <x:v>33</x:v>
      </x:c>
      <x:c r="H82" s="4" t="s">
        <x:v>453</x:v>
      </x:c>
      <x:c r="I82" s="4" t="s">
        <x:v>460</x:v>
      </x:c>
      <x:c r="J82" s="4">
        <x:v>1</x:v>
      </x:c>
      <x:c r="K82" s="4" t="s">
        <x:v>231</x:v>
      </x:c>
    </x:row>
    <x:row r="83">
      <x:c r="A83" s="4" t="s">
        <x:v>461</x:v>
      </x:c>
      <x:c r="B83" s="4" t="s">
        <x:v>443</x:v>
      </x:c>
      <x:c r="C83" s="4" t="s">
        <x:v>462</x:v>
      </x:c>
      <x:c r="D83" s="4" t="s">
        <x:v>463</x:v>
      </x:c>
      <x:c r="E83" s="4" t="s">
        <x:v>81</x:v>
      </x:c>
      <x:c r="F83" s="4" t="s">
        <x:v>82</x:v>
      </x:c>
      <x:c r="G83" s="4" t="s">
        <x:v>33</x:v>
      </x:c>
      <x:c r="H83" s="4" t="s">
        <x:v>464</x:v>
      </x:c>
      <x:c r="I83" s="4" t="s">
        <x:v>465</x:v>
      </x:c>
      <x:c r="J83" s="4">
        <x:v>2</x:v>
      </x:c>
      <x:c r="K83" s="4" t="s">
        <x:v>231</x:v>
      </x:c>
    </x:row>
    <x:row r="84">
      <x:c r="A84" s="4" t="s">
        <x:v>466</x:v>
      </x:c>
      <x:c r="B84" s="4" t="s">
        <x:v>443</x:v>
      </x:c>
      <x:c r="C84" s="4" t="s">
        <x:v>467</x:v>
      </x:c>
      <x:c r="D84" s="4" t="s">
        <x:v>468</x:v>
      </x:c>
      <x:c r="E84" s="4" t="s">
        <x:v>81</x:v>
      </x:c>
      <x:c r="F84" s="4" t="s">
        <x:v>82</x:v>
      </x:c>
      <x:c r="G84" s="4" t="s">
        <x:v>33</x:v>
      </x:c>
      <x:c r="H84" s="4" t="s">
        <x:v>469</x:v>
      </x:c>
      <x:c r="I84" s="4" t="s">
        <x:v>470</x:v>
      </x:c>
      <x:c r="J84" s="4">
        <x:v>1.5</x:v>
      </x:c>
      <x:c r="K84" s="4" t="s">
        <x:v>231</x:v>
      </x:c>
    </x:row>
    <x:row r="85">
      <x:c r="A85" s="4" t="s">
        <x:v>471</x:v>
      </x:c>
      <x:c r="B85" s="4" t="s">
        <x:v>443</x:v>
      </x:c>
      <x:c r="C85" s="4" t="s">
        <x:v>472</x:v>
      </x:c>
      <x:c r="D85" s="4" t="s">
        <x:v>473</x:v>
      </x:c>
      <x:c r="E85" s="4" t="s">
        <x:v>119</x:v>
      </x:c>
      <x:c r="F85" s="4" t="s">
        <x:v>82</x:v>
      </x:c>
      <x:c r="G85" s="4" t="s">
        <x:v>474</x:v>
      </x:c>
      <x:c r="H85" s="4" t="s">
        <x:v>464</x:v>
      </x:c>
      <x:c r="I85" s="4" t="s">
        <x:v>475</x:v>
      </x:c>
      <x:c r="J85" s="4">
        <x:v>1</x:v>
      </x:c>
      <x:c r="K85" s="4" t="s">
        <x:v>231</x:v>
      </x:c>
    </x:row>
  </x:sheetData>
  <x:mergeCells>
    <x:mergeCell ref="A1:K1"/>
  </x:mergeCells>
  <x:conditionalFormatting sqref="F3:F85">
    <x:cfRule type="expression" dxfId="0" priority="1">
      <x:formula>F3="P0"</x:formula>
    </x:cfRule>
    <x:cfRule type="expression" dxfId="1" priority="2">
      <x:formula>F3="P1"</x:formula>
    </x:cfRule>
  </x:conditionalFormatting>
  <x:conditionalFormatting sqref="K3:K85">
    <x:cfRule type="expression" dxfId="2" priority="3">
      <x:formula>K3="已完成"</x:formula>
    </x:cfRule>
    <x:cfRule type="expression" dxfId="3" priority="4">
      <x:formula>K3="阻塞"</x:formula>
    </x:cfRule>
  </x:conditionalFormatting>
  <x:dataValidations count="3">
    <x:dataValidation type="list" sqref="E3:E85">
      <x:formula1>"你,协作者,AI负责人"</x:formula1>
    </x:dataValidation>
    <x:dataValidation type="list" sqref="F3:F85">
      <x:formula1>"P0,P1,P2"</x:formula1>
    </x:dataValidation>
    <x:dataValidation type="list" sqref="K3:K85">
      <x:formula1>"未开始,进行中,阻塞,已完成,延期"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5c28140aabc4ee0"/>
  </x:tableParts>
</x:worksheet>
</file>

<file path=xl/worksheets/sheet3.xml><?xml version="1.0" encoding="utf-8"?>
<x:worksheet xmlns:x="http://schemas.openxmlformats.org/spreadsheetml/2006/main">
  <x:sheetFormatPr defaultColWidth="23.25" defaultRowHeight="14.25"/>
  <x:cols>
    <x:col min="1" max="1" width="4.625" style="5" customWidth="1"/>
    <x:col min="2" max="2" width="8.375" style="5" customWidth="1"/>
    <x:col min="3" max="3" width="23.25" style="5" customWidth="1"/>
    <x:col min="4" max="6" width="23.125" style="5" customWidth="1"/>
    <x:col min="7" max="16384" width="23.25" style="5" customWidth="1"/>
  </x:cols>
  <x:sheetData>
    <x:row r="1" ht="20.25">
      <x:c r="A1" s="2" t="s">
        <x:v>476</x:v>
      </x:c>
      <x:c r="B1" s="2"/>
      <x:c r="C1" s="2"/>
      <x:c r="D1" s="2"/>
      <x:c r="E1" s="2"/>
      <x:c r="F1" s="2"/>
    </x:row>
    <x:row r="2" ht="15">
      <x:c r="A2" s="3" t="s">
        <x:v>3</x:v>
      </x:c>
      <x:c r="B2" s="3" t="s">
        <x:v>4</x:v>
      </x:c>
      <x:c r="C2" s="3" t="s">
        <x:v>477</x:v>
      </x:c>
      <x:c r="D2" s="3" t="s">
        <x:v>478</x:v>
      </x:c>
      <x:c r="E2" s="3" t="s">
        <x:v>479</x:v>
      </x:c>
      <x:c r="F2" s="3" t="s">
        <x:v>480</x:v>
      </x:c>
    </x:row>
    <x:row r="3" ht="57">
      <x:c r="A3" s="6" t="s">
        <x:v>8</x:v>
      </x:c>
      <x:c r="B3" s="6" t="s">
        <x:v>9</x:v>
      </x:c>
      <x:c r="C3" s="6" t="s">
        <x:v>10</x:v>
      </x:c>
      <x:c r="D3" s="6" t="s">
        <x:v>481</x:v>
      </x:c>
      <x:c r="E3" s="6" t="s">
        <x:v>482</x:v>
      </x:c>
      <x:c r="F3" s="6" t="s">
        <x:v>11</x:v>
      </x:c>
    </x:row>
    <x:row r="4" ht="42.75">
      <x:c r="A4" s="6" t="s">
        <x:v>13</x:v>
      </x:c>
      <x:c r="B4" s="6" t="s">
        <x:v>14</x:v>
      </x:c>
      <x:c r="C4" s="6" t="s">
        <x:v>15</x:v>
      </x:c>
      <x:c r="D4" s="6" t="s">
        <x:v>483</x:v>
      </x:c>
      <x:c r="E4" s="6" t="s">
        <x:v>484</x:v>
      </x:c>
      <x:c r="F4" s="6" t="s">
        <x:v>16</x:v>
      </x:c>
    </x:row>
    <x:row r="5" ht="42">
      <x:c r="A5" s="6" t="s">
        <x:v>18</x:v>
      </x:c>
      <x:c r="B5" s="6" t="s">
        <x:v>19</x:v>
      </x:c>
      <x:c r="C5" s="6" t="s">
        <x:v>20</x:v>
      </x:c>
      <x:c r="D5" s="6" t="s">
        <x:v>485</x:v>
      </x:c>
      <x:c r="E5" s="6" t="s">
        <x:v>486</x:v>
      </x:c>
      <x:c r="F5" s="6" t="s">
        <x:v>21</x:v>
      </x:c>
    </x:row>
    <x:row r="6" ht="42">
      <x:c r="A6" s="6" t="s">
        <x:v>23</x:v>
      </x:c>
      <x:c r="B6" s="6" t="s">
        <x:v>24</x:v>
      </x:c>
      <x:c r="C6" s="6" t="s">
        <x:v>25</x:v>
      </x:c>
      <x:c r="D6" s="6" t="s">
        <x:v>487</x:v>
      </x:c>
      <x:c r="E6" s="6" t="s">
        <x:v>488</x:v>
      </x:c>
      <x:c r="F6" s="6" t="s">
        <x:v>26</x:v>
      </x:c>
    </x:row>
    <x:row r="7" ht="28.5">
      <x:c r="A7" s="6" t="s">
        <x:v>28</x:v>
      </x:c>
      <x:c r="B7" s="6" t="s">
        <x:v>29</x:v>
      </x:c>
      <x:c r="C7" s="6" t="s">
        <x:v>30</x:v>
      </x:c>
      <x:c r="D7" s="6" t="s">
        <x:v>489</x:v>
      </x:c>
      <x:c r="E7" s="6" t="s">
        <x:v>490</x:v>
      </x:c>
      <x:c r="F7" s="6" t="s">
        <x:v>31</x:v>
      </x:c>
    </x:row>
    <x:row r="8" ht="42.75">
      <x:c r="A8" s="6" t="s">
        <x:v>33</x:v>
      </x:c>
      <x:c r="B8" s="6" t="s">
        <x:v>34</x:v>
      </x:c>
      <x:c r="C8" s="6" t="s">
        <x:v>35</x:v>
      </x:c>
      <x:c r="D8" s="6" t="s">
        <x:v>491</x:v>
      </x:c>
      <x:c r="E8" s="6" t="s">
        <x:v>492</x:v>
      </x:c>
      <x:c r="F8" s="6" t="s">
        <x:v>36</x:v>
      </x:c>
    </x:row>
  </x:sheetData>
  <x:mergeCells>
    <x:mergeCell ref="A1:F1"/>
  </x:mergeCells>
  <x:pageMargins left="0.7" right="0.7" top="0.75" bottom="0.75" header="0.3" footer="0.3"/>
  <x:tableParts count="1">
    <x:tablePart xmlns:r="http://schemas.openxmlformats.org/officeDocument/2006/relationships" r:id="Raf28b8fbb23c43a4"/>
  </x:tableParts>
</x:worksheet>
</file>

<file path=xl/worksheets/sheet4.xml><?xml version="1.0" encoding="utf-8"?>
<x:worksheet xmlns:x="http://schemas.openxmlformats.org/spreadsheetml/2006/main">
  <x:sheetFormatPr defaultColWidth="9" defaultRowHeight="14.25"/>
  <x:cols>
    <x:col min="1" max="1" width="12.125" style="1" customWidth="1"/>
    <x:col min="2" max="2" width="16.625" style="1" customWidth="1"/>
    <x:col min="3" max="3" width="36.875" style="1" customWidth="1"/>
    <x:col min="4" max="4" width="21.375" style="1" customWidth="1"/>
    <x:col min="5" max="6" width="6.625" style="1" customWidth="1"/>
    <x:col min="7" max="16384" width="9" style="1" customWidth="0"/>
  </x:cols>
  <x:sheetData>
    <x:row r="1" ht="20.25">
      <x:c r="A1" s="2" t="s">
        <x:v>493</x:v>
      </x:c>
      <x:c r="B1" s="2"/>
      <x:c r="C1" s="2"/>
      <x:c r="D1" s="2"/>
      <x:c r="E1" s="2"/>
      <x:c r="F1" s="2"/>
    </x:row>
    <x:row r="2" ht="15">
      <x:c r="A2" s="3" t="s">
        <x:v>494</x:v>
      </x:c>
      <x:c r="B2" s="3" t="s">
        <x:v>495</x:v>
      </x:c>
      <x:c r="C2" s="3" t="s">
        <x:v>496</x:v>
      </x:c>
      <x:c r="D2" s="3" t="s">
        <x:v>497</x:v>
      </x:c>
      <x:c r="E2" s="3" t="s">
        <x:v>71</x:v>
      </x:c>
      <x:c r="F2" s="3" t="s">
        <x:v>72</x:v>
      </x:c>
    </x:row>
    <x:row r="3">
      <x:c r="A3" s="4" t="s">
        <x:v>498</x:v>
      </x:c>
      <x:c r="B3" s="4" t="s">
        <x:v>499</x:v>
      </x:c>
      <x:c r="C3" s="4" t="s">
        <x:v>500</x:v>
      </x:c>
      <x:c r="D3" s="4" t="s">
        <x:v>501</x:v>
      </x:c>
      <x:c r="E3" s="4" t="s">
        <x:v>82</x:v>
      </x:c>
      <x:c r="F3" s="4" t="s">
        <x:v>134</x:v>
      </x:c>
    </x:row>
    <x:row r="4">
      <x:c r="A4" s="4" t="s">
        <x:v>498</x:v>
      </x:c>
      <x:c r="B4" s="4" t="s">
        <x:v>502</x:v>
      </x:c>
      <x:c r="C4" s="4" t="s">
        <x:v>500</x:v>
      </x:c>
      <x:c r="D4" s="4" t="s">
        <x:v>503</x:v>
      </x:c>
      <x:c r="E4" s="4" t="s">
        <x:v>82</x:v>
      </x:c>
      <x:c r="F4" s="4" t="s">
        <x:v>240</x:v>
      </x:c>
    </x:row>
    <x:row r="5">
      <x:c r="A5" s="4" t="s">
        <x:v>504</x:v>
      </x:c>
      <x:c r="B5" s="4" t="s">
        <x:v>505</x:v>
      </x:c>
      <x:c r="C5" s="4" t="s">
        <x:v>506</x:v>
      </x:c>
      <x:c r="D5" s="4" t="s">
        <x:v>507</x:v>
      </x:c>
      <x:c r="E5" s="4" t="s">
        <x:v>82</x:v>
      </x:c>
      <x:c r="F5" s="4" t="s">
        <x:v>18</x:v>
      </x:c>
    </x:row>
    <x:row r="6">
      <x:c r="A6" s="4" t="s">
        <x:v>504</x:v>
      </x:c>
      <x:c r="B6" s="4" t="s">
        <x:v>508</x:v>
      </x:c>
      <x:c r="C6" s="4" t="s">
        <x:v>506</x:v>
      </x:c>
      <x:c r="D6" s="4" t="s">
        <x:v>509</x:v>
      </x:c>
      <x:c r="E6" s="4" t="s">
        <x:v>265</x:v>
      </x:c>
      <x:c r="F6" s="4" t="s">
        <x:v>18</x:v>
      </x:c>
    </x:row>
    <x:row r="7">
      <x:c r="A7" s="4" t="s">
        <x:v>510</x:v>
      </x:c>
      <x:c r="B7" s="4" t="s">
        <x:v>505</x:v>
      </x:c>
      <x:c r="C7" s="4" t="s">
        <x:v>511</x:v>
      </x:c>
      <x:c r="D7" s="4" t="s">
        <x:v>208</x:v>
      </x:c>
      <x:c r="E7" s="4" t="s">
        <x:v>82</x:v>
      </x:c>
      <x:c r="F7" s="4" t="s">
        <x:v>13</x:v>
      </x:c>
    </x:row>
    <x:row r="8">
      <x:c r="A8" s="4" t="s">
        <x:v>510</x:v>
      </x:c>
      <x:c r="B8" s="4" t="s">
        <x:v>505</x:v>
      </x:c>
      <x:c r="C8" s="4" t="s">
        <x:v>512</x:v>
      </x:c>
      <x:c r="D8" s="4" t="s">
        <x:v>513</x:v>
      </x:c>
      <x:c r="E8" s="4" t="s">
        <x:v>82</x:v>
      </x:c>
      <x:c r="F8" s="4" t="s">
        <x:v>13</x:v>
      </x:c>
    </x:row>
    <x:row r="9">
      <x:c r="A9" s="4" t="s">
        <x:v>510</x:v>
      </x:c>
      <x:c r="B9" s="4" t="s">
        <x:v>499</x:v>
      </x:c>
      <x:c r="C9" s="4" t="s">
        <x:v>511</x:v>
      </x:c>
      <x:c r="D9" s="4" t="s">
        <x:v>514</x:v>
      </x:c>
      <x:c r="E9" s="4" t="s">
        <x:v>82</x:v>
      </x:c>
      <x:c r="F9" s="4" t="s">
        <x:v>240</x:v>
      </x:c>
    </x:row>
    <x:row r="10">
      <x:c r="A10" s="4" t="s">
        <x:v>510</x:v>
      </x:c>
      <x:c r="B10" s="4" t="s">
        <x:v>508</x:v>
      </x:c>
      <x:c r="C10" s="4" t="s">
        <x:v>512</x:v>
      </x:c>
      <x:c r="D10" s="4" t="s">
        <x:v>515</x:v>
      </x:c>
      <x:c r="E10" s="4" t="s">
        <x:v>265</x:v>
      </x:c>
      <x:c r="F10" s="4" t="s">
        <x:v>18</x:v>
      </x:c>
    </x:row>
    <x:row r="11">
      <x:c r="A11" s="4" t="s">
        <x:v>510</x:v>
      </x:c>
      <x:c r="B11" s="4" t="s">
        <x:v>505</x:v>
      </x:c>
      <x:c r="C11" s="4" t="s">
        <x:v>516</x:v>
      </x:c>
      <x:c r="D11" s="4" t="s">
        <x:v>292</x:v>
      </x:c>
      <x:c r="E11" s="4" t="s">
        <x:v>265</x:v>
      </x:c>
      <x:c r="F11" s="4" t="s">
        <x:v>18</x:v>
      </x:c>
    </x:row>
    <x:row r="12">
      <x:c r="A12" s="4" t="s">
        <x:v>517</x:v>
      </x:c>
      <x:c r="B12" s="4" t="s">
        <x:v>505</x:v>
      </x:c>
      <x:c r="C12" s="4" t="s">
        <x:v>518</x:v>
      </x:c>
      <x:c r="D12" s="4" t="s">
        <x:v>218</x:v>
      </x:c>
      <x:c r="E12" s="4" t="s">
        <x:v>82</x:v>
      </x:c>
      <x:c r="F12" s="4" t="s">
        <x:v>13</x:v>
      </x:c>
    </x:row>
    <x:row r="13">
      <x:c r="A13" s="4" t="s">
        <x:v>517</x:v>
      </x:c>
      <x:c r="B13" s="4" t="s">
        <x:v>505</x:v>
      </x:c>
      <x:c r="C13" s="4" t="s">
        <x:v>519</x:v>
      </x:c>
      <x:c r="D13" s="4" t="s">
        <x:v>520</x:v>
      </x:c>
      <x:c r="E13" s="4" t="s">
        <x:v>82</x:v>
      </x:c>
      <x:c r="F13" s="4" t="s">
        <x:v>13</x:v>
      </x:c>
    </x:row>
    <x:row r="14">
      <x:c r="A14" s="4" t="s">
        <x:v>517</x:v>
      </x:c>
      <x:c r="B14" s="4" t="s">
        <x:v>499</x:v>
      </x:c>
      <x:c r="C14" s="4" t="s">
        <x:v>518</x:v>
      </x:c>
      <x:c r="D14" s="4" t="s">
        <x:v>521</x:v>
      </x:c>
      <x:c r="E14" s="4" t="s">
        <x:v>82</x:v>
      </x:c>
      <x:c r="F14" s="4" t="s">
        <x:v>18</x:v>
      </x:c>
    </x:row>
    <x:row r="15">
      <x:c r="A15" s="4" t="s">
        <x:v>517</x:v>
      </x:c>
      <x:c r="B15" s="4" t="s">
        <x:v>508</x:v>
      </x:c>
      <x:c r="C15" s="4" t="s">
        <x:v>519</x:v>
      </x:c>
      <x:c r="D15" s="4" t="s">
        <x:v>522</x:v>
      </x:c>
      <x:c r="E15" s="4" t="s">
        <x:v>265</x:v>
      </x:c>
      <x:c r="F15" s="4" t="s">
        <x:v>18</x:v>
      </x:c>
    </x:row>
    <x:row r="16">
      <x:c r="A16" s="4" t="s">
        <x:v>517</x:v>
      </x:c>
      <x:c r="B16" s="4" t="s">
        <x:v>505</x:v>
      </x:c>
      <x:c r="C16" s="4" t="s">
        <x:v>523</x:v>
      </x:c>
      <x:c r="D16" s="4" t="s">
        <x:v>297</x:v>
      </x:c>
      <x:c r="E16" s="4" t="s">
        <x:v>265</x:v>
      </x:c>
      <x:c r="F16" s="4" t="s">
        <x:v>18</x:v>
      </x:c>
    </x:row>
    <x:row r="17">
      <x:c r="A17" s="4" t="s">
        <x:v>524</x:v>
      </x:c>
      <x:c r="B17" s="4" t="s">
        <x:v>505</x:v>
      </x:c>
      <x:c r="C17" s="4" t="s">
        <x:v>525</x:v>
      </x:c>
      <x:c r="D17" s="4" t="s">
        <x:v>526</x:v>
      </x:c>
      <x:c r="E17" s="4" t="s">
        <x:v>82</x:v>
      </x:c>
      <x:c r="F17" s="4" t="s">
        <x:v>13</x:v>
      </x:c>
    </x:row>
    <x:row r="18">
      <x:c r="A18" s="4" t="s">
        <x:v>524</x:v>
      </x:c>
      <x:c r="B18" s="4" t="s">
        <x:v>505</x:v>
      </x:c>
      <x:c r="C18" s="4" t="s">
        <x:v>527</x:v>
      </x:c>
      <x:c r="D18" s="4" t="s">
        <x:v>528</x:v>
      </x:c>
      <x:c r="E18" s="4" t="s">
        <x:v>82</x:v>
      </x:c>
      <x:c r="F18" s="4" t="s">
        <x:v>13</x:v>
      </x:c>
    </x:row>
    <x:row r="19">
      <x:c r="A19" s="4" t="s">
        <x:v>529</x:v>
      </x:c>
      <x:c r="B19" s="4" t="s">
        <x:v>499</x:v>
      </x:c>
      <x:c r="C19" s="4" t="s">
        <x:v>530</x:v>
      </x:c>
      <x:c r="D19" s="4" t="s">
        <x:v>531</x:v>
      </x:c>
      <x:c r="E19" s="4" t="s">
        <x:v>82</x:v>
      </x:c>
      <x:c r="F19" s="4" t="s">
        <x:v>18</x:v>
      </x:c>
    </x:row>
    <x:row r="20">
      <x:c r="A20" s="4" t="s">
        <x:v>529</x:v>
      </x:c>
      <x:c r="B20" s="4" t="s">
        <x:v>505</x:v>
      </x:c>
      <x:c r="C20" s="4" t="s">
        <x:v>532</x:v>
      </x:c>
      <x:c r="D20" s="4" t="s">
        <x:v>533</x:v>
      </x:c>
      <x:c r="E20" s="4" t="s">
        <x:v>265</x:v>
      </x:c>
      <x:c r="F20" s="4" t="s">
        <x:v>18</x:v>
      </x:c>
    </x:row>
    <x:row r="21">
      <x:c r="A21" s="4" t="s">
        <x:v>534</x:v>
      </x:c>
      <x:c r="B21" s="4" t="s">
        <x:v>505</x:v>
      </x:c>
      <x:c r="C21" s="4" t="s">
        <x:v>535</x:v>
      </x:c>
      <x:c r="D21" s="4" t="s">
        <x:v>536</x:v>
      </x:c>
      <x:c r="E21" s="4" t="s">
        <x:v>265</x:v>
      </x:c>
      <x:c r="F21" s="4" t="s">
        <x:v>18</x:v>
      </x:c>
    </x:row>
    <x:row r="22">
      <x:c r="A22" s="4" t="s">
        <x:v>534</x:v>
      </x:c>
      <x:c r="B22" s="4" t="s">
        <x:v>499</x:v>
      </x:c>
      <x:c r="C22" s="4" t="s">
        <x:v>535</x:v>
      </x:c>
      <x:c r="D22" s="4" t="s">
        <x:v>537</x:v>
      </x:c>
      <x:c r="E22" s="4" t="s">
        <x:v>265</x:v>
      </x:c>
      <x:c r="F22" s="4" t="s">
        <x:v>18</x:v>
      </x:c>
    </x:row>
    <x:row r="23">
      <x:c r="A23" s="4" t="s">
        <x:v>534</x:v>
      </x:c>
      <x:c r="B23" s="4" t="s">
        <x:v>502</x:v>
      </x:c>
      <x:c r="C23" s="4" t="s">
        <x:v>538</x:v>
      </x:c>
      <x:c r="D23" s="4" t="s">
        <x:v>539</x:v>
      </x:c>
      <x:c r="E23" s="4" t="s">
        <x:v>265</x:v>
      </x:c>
      <x:c r="F23" s="4" t="s">
        <x:v>18</x:v>
      </x:c>
    </x:row>
    <x:row r="24">
      <x:c r="A24" s="4" t="s">
        <x:v>540</x:v>
      </x:c>
      <x:c r="B24" s="4" t="s">
        <x:v>499</x:v>
      </x:c>
      <x:c r="C24" s="4" t="s">
        <x:v>541</x:v>
      </x:c>
      <x:c r="D24" s="4" t="s">
        <x:v>542</x:v>
      </x:c>
      <x:c r="E24" s="4" t="s">
        <x:v>82</x:v>
      </x:c>
      <x:c r="F24" s="4" t="s">
        <x:v>23</x:v>
      </x:c>
    </x:row>
    <x:row r="25">
      <x:c r="A25" s="4" t="s">
        <x:v>540</x:v>
      </x:c>
      <x:c r="B25" s="4" t="s">
        <x:v>505</x:v>
      </x:c>
      <x:c r="C25" s="4" t="s">
        <x:v>543</x:v>
      </x:c>
      <x:c r="D25" s="4" t="s">
        <x:v>544</x:v>
      </x:c>
      <x:c r="E25" s="4" t="s">
        <x:v>82</x:v>
      </x:c>
      <x:c r="F25" s="4" t="s">
        <x:v>23</x:v>
      </x:c>
    </x:row>
    <x:row r="26">
      <x:c r="A26" s="4" t="s">
        <x:v>545</x:v>
      </x:c>
      <x:c r="B26" s="4" t="s">
        <x:v>499</x:v>
      </x:c>
      <x:c r="C26" s="4" t="s">
        <x:v>546</x:v>
      </x:c>
      <x:c r="D26" s="4" t="s">
        <x:v>224</x:v>
      </x:c>
      <x:c r="E26" s="4" t="s">
        <x:v>82</x:v>
      </x:c>
      <x:c r="F26" s="4" t="s">
        <x:v>13</x:v>
      </x:c>
    </x:row>
    <x:row r="27">
      <x:c r="A27" s="4" t="s">
        <x:v>545</x:v>
      </x:c>
      <x:c r="B27" s="4" t="s">
        <x:v>547</x:v>
      </x:c>
      <x:c r="C27" s="4" t="s">
        <x:v>548</x:v>
      </x:c>
      <x:c r="D27" s="4" t="s">
        <x:v>549</x:v>
      </x:c>
      <x:c r="E27" s="4" t="s">
        <x:v>82</x:v>
      </x:c>
      <x:c r="F27" s="4" t="s">
        <x:v>240</x:v>
      </x:c>
    </x:row>
    <x:row r="28">
      <x:c r="A28" s="4" t="s">
        <x:v>545</x:v>
      </x:c>
      <x:c r="B28" s="4" t="s">
        <x:v>547</x:v>
      </x:c>
      <x:c r="C28" s="4" t="s">
        <x:v>550</x:v>
      </x:c>
      <x:c r="D28" s="4" t="s">
        <x:v>551</x:v>
      </x:c>
      <x:c r="E28" s="4" t="s">
        <x:v>82</x:v>
      </x:c>
      <x:c r="F28" s="4" t="s">
        <x:v>240</x:v>
      </x:c>
    </x:row>
    <x:row r="29">
      <x:c r="A29" s="4" t="s">
        <x:v>545</x:v>
      </x:c>
      <x:c r="B29" s="4" t="s">
        <x:v>547</x:v>
      </x:c>
      <x:c r="C29" s="4" t="s">
        <x:v>552</x:v>
      </x:c>
      <x:c r="D29" s="4" t="s">
        <x:v>553</x:v>
      </x:c>
      <x:c r="E29" s="4" t="s">
        <x:v>82</x:v>
      </x:c>
      <x:c r="F29" s="4" t="s">
        <x:v>240</x:v>
      </x:c>
    </x:row>
    <x:row r="30">
      <x:c r="A30" s="4" t="s">
        <x:v>545</x:v>
      </x:c>
      <x:c r="B30" s="4" t="s">
        <x:v>554</x:v>
      </x:c>
      <x:c r="C30" s="4" t="s">
        <x:v>555</x:v>
      </x:c>
      <x:c r="D30" s="4" t="s">
        <x:v>556</x:v>
      </x:c>
      <x:c r="E30" s="4" t="s">
        <x:v>82</x:v>
      </x:c>
      <x:c r="F30" s="4" t="s">
        <x:v>18</x:v>
      </x:c>
    </x:row>
    <x:row r="31">
      <x:c r="A31" s="4" t="s">
        <x:v>545</x:v>
      </x:c>
      <x:c r="B31" s="4" t="s">
        <x:v>505</x:v>
      </x:c>
      <x:c r="C31" s="4" t="s">
        <x:v>557</x:v>
      </x:c>
      <x:c r="D31" s="4" t="s">
        <x:v>558</x:v>
      </x:c>
      <x:c r="E31" s="4" t="s">
        <x:v>265</x:v>
      </x:c>
      <x:c r="F31" s="4" t="s">
        <x:v>349</x:v>
      </x:c>
    </x:row>
  </x:sheetData>
  <x:mergeCells>
    <x:mergeCell ref="A1:F1"/>
  </x:mergeCells>
  <x:conditionalFormatting sqref="E3:E31">
    <x:cfRule type="expression" dxfId="0" priority="1">
      <x:formula>E3="P0"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5ee421e88b064362"/>
  </x:tableParts>
</x:worksheet>
</file>

<file path=xl/worksheets/sheet5.xml><?xml version="1.0" encoding="utf-8"?>
<x:worksheet xmlns:x="http://schemas.openxmlformats.org/spreadsheetml/2006/main">
  <x:sheetFormatPr defaultColWidth="9" defaultRowHeight="14.25"/>
  <x:cols>
    <x:col min="1" max="1" width="7" style="1" customWidth="1"/>
    <x:col min="2" max="2" width="6.625" style="1" customWidth="1"/>
    <x:col min="3" max="3" width="46.625" style="1" customWidth="1"/>
    <x:col min="4" max="4" width="6.625" style="1" customWidth="1"/>
    <x:col min="5" max="5" width="8.625" style="1" customWidth="1"/>
    <x:col min="6" max="6" width="6.25" style="1" customWidth="1"/>
    <x:col min="7" max="16384" width="9" style="1" customWidth="0"/>
  </x:cols>
  <x:sheetData>
    <x:row r="1" ht="20.25">
      <x:c r="A1" s="2" t="s">
        <x:v>559</x:v>
      </x:c>
      <x:c r="B1" s="2"/>
      <x:c r="C1" s="2"/>
      <x:c r="D1" s="2"/>
      <x:c r="E1" s="2"/>
      <x:c r="F1" s="2"/>
    </x:row>
    <x:row r="2">
      <x:c r="A2" s="3" t="s">
        <x:v>560</x:v>
      </x:c>
      <x:c r="B2" s="3" t="s">
        <x:v>71</x:v>
      </x:c>
      <x:c r="C2" s="3" t="s">
        <x:v>561</x:v>
      </x:c>
      <x:c r="D2" s="3" t="s">
        <x:v>70</x:v>
      </x:c>
      <x:c r="E2" s="3" t="s">
        <x:v>562</x:v>
      </x:c>
      <x:c r="F2" s="3" t="s">
        <x:v>76</x:v>
      </x:c>
    </x:row>
    <x:row r="3">
      <x:c r="A3" s="4" t="s">
        <x:v>563</x:v>
      </x:c>
      <x:c r="B3" s="4" t="s">
        <x:v>82</x:v>
      </x:c>
      <x:c r="C3" s="4" t="s">
        <x:v>564</x:v>
      </x:c>
      <x:c r="D3" s="4" t="s">
        <x:v>81</x:v>
      </x:c>
      <x:c r="E3" s="4" t="s">
        <x:v>407</x:v>
      </x:c>
      <x:c r="F3" s="4" t="s">
        <x:v>231</x:v>
      </x:c>
    </x:row>
    <x:row r="4">
      <x:c r="A4" s="4" t="s">
        <x:v>563</x:v>
      </x:c>
      <x:c r="B4" s="4" t="s">
        <x:v>82</x:v>
      </x:c>
      <x:c r="C4" s="4" t="s">
        <x:v>565</x:v>
      </x:c>
      <x:c r="D4" s="4" t="s">
        <x:v>81</x:v>
      </x:c>
      <x:c r="E4" s="4" t="s">
        <x:v>28</x:v>
      </x:c>
      <x:c r="F4" s="4" t="s">
        <x:v>231</x:v>
      </x:c>
    </x:row>
    <x:row r="5">
      <x:c r="A5" s="4" t="s">
        <x:v>566</x:v>
      </x:c>
      <x:c r="B5" s="4" t="s">
        <x:v>82</x:v>
      </x:c>
      <x:c r="C5" s="4" t="s">
        <x:v>567</x:v>
      </x:c>
      <x:c r="D5" s="4" t="s">
        <x:v>119</x:v>
      </x:c>
      <x:c r="E5" s="4" t="s">
        <x:v>568</x:v>
      </x:c>
      <x:c r="F5" s="4" t="s">
        <x:v>231</x:v>
      </x:c>
    </x:row>
    <x:row r="6">
      <x:c r="A6" s="4" t="s">
        <x:v>566</x:v>
      </x:c>
      <x:c r="B6" s="4" t="s">
        <x:v>82</x:v>
      </x:c>
      <x:c r="C6" s="4" t="s">
        <x:v>569</x:v>
      </x:c>
      <x:c r="D6" s="4" t="s">
        <x:v>81</x:v>
      </x:c>
      <x:c r="E6" s="4" t="s">
        <x:v>407</x:v>
      </x:c>
      <x:c r="F6" s="4" t="s">
        <x:v>231</x:v>
      </x:c>
    </x:row>
    <x:row r="7">
      <x:c r="A7" s="4" t="s">
        <x:v>570</x:v>
      </x:c>
      <x:c r="B7" s="4" t="s">
        <x:v>82</x:v>
      </x:c>
      <x:c r="C7" s="4" t="s">
        <x:v>571</x:v>
      </x:c>
      <x:c r="D7" s="4" t="s">
        <x:v>119</x:v>
      </x:c>
      <x:c r="E7" s="4" t="s">
        <x:v>572</x:v>
      </x:c>
      <x:c r="F7" s="4" t="s">
        <x:v>231</x:v>
      </x:c>
    </x:row>
    <x:row r="8">
      <x:c r="A8" s="4" t="s">
        <x:v>570</x:v>
      </x:c>
      <x:c r="B8" s="4" t="s">
        <x:v>82</x:v>
      </x:c>
      <x:c r="C8" s="4" t="s">
        <x:v>573</x:v>
      </x:c>
      <x:c r="D8" s="4" t="s">
        <x:v>119</x:v>
      </x:c>
      <x:c r="E8" s="4" t="s">
        <x:v>33</x:v>
      </x:c>
      <x:c r="F8" s="4" t="s">
        <x:v>231</x:v>
      </x:c>
    </x:row>
    <x:row r="9">
      <x:c r="A9" s="4" t="s">
        <x:v>570</x:v>
      </x:c>
      <x:c r="B9" s="4" t="s">
        <x:v>82</x:v>
      </x:c>
      <x:c r="C9" s="4" t="s">
        <x:v>574</x:v>
      </x:c>
      <x:c r="D9" s="4" t="s">
        <x:v>119</x:v>
      </x:c>
      <x:c r="E9" s="4" t="s">
        <x:v>28</x:v>
      </x:c>
      <x:c r="F9" s="4" t="s">
        <x:v>231</x:v>
      </x:c>
    </x:row>
    <x:row r="10">
      <x:c r="A10" s="4" t="s">
        <x:v>575</x:v>
      </x:c>
      <x:c r="B10" s="4" t="s">
        <x:v>82</x:v>
      </x:c>
      <x:c r="C10" s="4" t="s">
        <x:v>576</x:v>
      </x:c>
      <x:c r="D10" s="4" t="s">
        <x:v>119</x:v>
      </x:c>
      <x:c r="E10" s="4" t="s">
        <x:v>33</x:v>
      </x:c>
      <x:c r="F10" s="4" t="s">
        <x:v>231</x:v>
      </x:c>
    </x:row>
    <x:row r="11">
      <x:c r="A11" s="4" t="s">
        <x:v>575</x:v>
      </x:c>
      <x:c r="B11" s="4" t="s">
        <x:v>82</x:v>
      </x:c>
      <x:c r="C11" s="4" t="s">
        <x:v>577</x:v>
      </x:c>
      <x:c r="D11" s="4" t="s">
        <x:v>119</x:v>
      </x:c>
      <x:c r="E11" s="4" t="s">
        <x:v>568</x:v>
      </x:c>
      <x:c r="F11" s="4" t="s">
        <x:v>231</x:v>
      </x:c>
    </x:row>
    <x:row r="12">
      <x:c r="A12" s="4" t="s">
        <x:v>578</x:v>
      </x:c>
      <x:c r="B12" s="4" t="s">
        <x:v>82</x:v>
      </x:c>
      <x:c r="C12" s="4" t="s">
        <x:v>579</x:v>
      </x:c>
      <x:c r="D12" s="4" t="s">
        <x:v>81</x:v>
      </x:c>
      <x:c r="E12" s="4" t="s">
        <x:v>407</x:v>
      </x:c>
      <x:c r="F12" s="4" t="s">
        <x:v>231</x:v>
      </x:c>
    </x:row>
    <x:row r="13">
      <x:c r="A13" s="4" t="s">
        <x:v>578</x:v>
      </x:c>
      <x:c r="B13" s="4" t="s">
        <x:v>82</x:v>
      </x:c>
      <x:c r="C13" s="4" t="s">
        <x:v>580</x:v>
      </x:c>
      <x:c r="D13" s="4" t="s">
        <x:v>81</x:v>
      </x:c>
      <x:c r="E13" s="4" t="s">
        <x:v>407</x:v>
      </x:c>
      <x:c r="F13" s="4" t="s">
        <x:v>231</x:v>
      </x:c>
    </x:row>
    <x:row r="14">
      <x:c r="A14" s="4" t="s">
        <x:v>578</x:v>
      </x:c>
      <x:c r="B14" s="4" t="s">
        <x:v>82</x:v>
      </x:c>
      <x:c r="C14" s="4" t="s">
        <x:v>581</x:v>
      </x:c>
      <x:c r="D14" s="4" t="s">
        <x:v>119</x:v>
      </x:c>
      <x:c r="E14" s="4" t="s">
        <x:v>407</x:v>
      </x:c>
      <x:c r="F14" s="4" t="s">
        <x:v>231</x:v>
      </x:c>
    </x:row>
    <x:row r="15">
      <x:c r="A15" s="4" t="s">
        <x:v>578</x:v>
      </x:c>
      <x:c r="B15" s="4" t="s">
        <x:v>82</x:v>
      </x:c>
      <x:c r="C15" s="4" t="s">
        <x:v>582</x:v>
      </x:c>
      <x:c r="D15" s="4" t="s">
        <x:v>119</x:v>
      </x:c>
      <x:c r="E15" s="4" t="s">
        <x:v>407</x:v>
      </x:c>
      <x:c r="F15" s="4" t="s">
        <x:v>231</x:v>
      </x:c>
    </x:row>
    <x:row r="16">
      <x:c r="A16" s="4" t="s">
        <x:v>578</x:v>
      </x:c>
      <x:c r="B16" s="4" t="s">
        <x:v>82</x:v>
      </x:c>
      <x:c r="C16" s="4" t="s">
        <x:v>583</x:v>
      </x:c>
      <x:c r="D16" s="4" t="s">
        <x:v>81</x:v>
      </x:c>
      <x:c r="E16" s="4" t="s">
        <x:v>28</x:v>
      </x:c>
      <x:c r="F16" s="4" t="s">
        <x:v>231</x:v>
      </x:c>
    </x:row>
    <x:row r="17">
      <x:c r="A17" s="4" t="s">
        <x:v>584</x:v>
      </x:c>
      <x:c r="B17" s="4" t="s">
        <x:v>82</x:v>
      </x:c>
      <x:c r="C17" s="4" t="s">
        <x:v>585</x:v>
      </x:c>
      <x:c r="D17" s="4" t="s">
        <x:v>81</x:v>
      </x:c>
      <x:c r="E17" s="4" t="s">
        <x:v>586</x:v>
      </x:c>
      <x:c r="F17" s="4" t="s">
        <x:v>231</x:v>
      </x:c>
    </x:row>
    <x:row r="18">
      <x:c r="A18" s="4" t="s">
        <x:v>584</x:v>
      </x:c>
      <x:c r="B18" s="4" t="s">
        <x:v>82</x:v>
      </x:c>
      <x:c r="C18" s="4" t="s">
        <x:v>587</x:v>
      </x:c>
      <x:c r="D18" s="4" t="s">
        <x:v>81</x:v>
      </x:c>
      <x:c r="E18" s="4" t="s">
        <x:v>586</x:v>
      </x:c>
      <x:c r="F18" s="4" t="s">
        <x:v>231</x:v>
      </x:c>
    </x:row>
    <x:row r="19">
      <x:c r="A19" s="4" t="s">
        <x:v>584</x:v>
      </x:c>
      <x:c r="B19" s="4" t="s">
        <x:v>82</x:v>
      </x:c>
      <x:c r="C19" s="4" t="s">
        <x:v>588</x:v>
      </x:c>
      <x:c r="D19" s="4" t="s">
        <x:v>81</x:v>
      </x:c>
      <x:c r="E19" s="4" t="s">
        <x:v>586</x:v>
      </x:c>
      <x:c r="F19" s="4" t="s">
        <x:v>231</x:v>
      </x:c>
    </x:row>
    <x:row r="20">
      <x:c r="A20" s="4" t="s">
        <x:v>584</x:v>
      </x:c>
      <x:c r="B20" s="4" t="s">
        <x:v>82</x:v>
      </x:c>
      <x:c r="C20" s="4" t="s">
        <x:v>589</x:v>
      </x:c>
      <x:c r="D20" s="4" t="s">
        <x:v>81</x:v>
      </x:c>
      <x:c r="E20" s="4" t="s">
        <x:v>590</x:v>
      </x:c>
      <x:c r="F20" s="4" t="s">
        <x:v>231</x:v>
      </x:c>
    </x:row>
    <x:row r="21">
      <x:c r="A21" s="4" t="s">
        <x:v>584</x:v>
      </x:c>
      <x:c r="B21" s="4" t="s">
        <x:v>82</x:v>
      </x:c>
      <x:c r="C21" s="4" t="s">
        <x:v>591</x:v>
      </x:c>
      <x:c r="D21" s="4" t="s">
        <x:v>81</x:v>
      </x:c>
      <x:c r="E21" s="4" t="s">
        <x:v>568</x:v>
      </x:c>
      <x:c r="F21" s="4" t="s">
        <x:v>231</x:v>
      </x:c>
    </x:row>
    <x:row r="22">
      <x:c r="A22" s="4" t="s">
        <x:v>592</x:v>
      </x:c>
      <x:c r="B22" s="4" t="s">
        <x:v>82</x:v>
      </x:c>
      <x:c r="C22" s="4" t="s">
        <x:v>593</x:v>
      </x:c>
      <x:c r="D22" s="4" t="s">
        <x:v>119</x:v>
      </x:c>
      <x:c r="E22" s="4" t="s">
        <x:v>586</x:v>
      </x:c>
      <x:c r="F22" s="4" t="s">
        <x:v>231</x:v>
      </x:c>
    </x:row>
    <x:row r="23">
      <x:c r="A23" s="4" t="s">
        <x:v>592</x:v>
      </x:c>
      <x:c r="B23" s="4" t="s">
        <x:v>82</x:v>
      </x:c>
      <x:c r="C23" s="4" t="s">
        <x:v>594</x:v>
      </x:c>
      <x:c r="D23" s="4" t="s">
        <x:v>119</x:v>
      </x:c>
      <x:c r="E23" s="4" t="s">
        <x:v>586</x:v>
      </x:c>
      <x:c r="F23" s="4" t="s">
        <x:v>231</x:v>
      </x:c>
    </x:row>
    <x:row r="24">
      <x:c r="A24" s="4" t="s">
        <x:v>592</x:v>
      </x:c>
      <x:c r="B24" s="4" t="s">
        <x:v>82</x:v>
      </x:c>
      <x:c r="C24" s="4" t="s">
        <x:v>595</x:v>
      </x:c>
      <x:c r="D24" s="4" t="s">
        <x:v>119</x:v>
      </x:c>
      <x:c r="E24" s="4" t="s">
        <x:v>590</x:v>
      </x:c>
      <x:c r="F24" s="4" t="s">
        <x:v>231</x:v>
      </x:c>
    </x:row>
    <x:row r="25">
      <x:c r="A25" s="4" t="s">
        <x:v>592</x:v>
      </x:c>
      <x:c r="B25" s="4" t="s">
        <x:v>82</x:v>
      </x:c>
      <x:c r="C25" s="4" t="s">
        <x:v>596</x:v>
      </x:c>
      <x:c r="D25" s="4" t="s">
        <x:v>119</x:v>
      </x:c>
      <x:c r="E25" s="4" t="s">
        <x:v>590</x:v>
      </x:c>
      <x:c r="F25" s="4" t="s">
        <x:v>231</x:v>
      </x:c>
    </x:row>
    <x:row r="26">
      <x:c r="A26" s="4" t="s">
        <x:v>540</x:v>
      </x:c>
      <x:c r="B26" s="4" t="s">
        <x:v>82</x:v>
      </x:c>
      <x:c r="C26" s="4" t="s">
        <x:v>597</x:v>
      </x:c>
      <x:c r="D26" s="4" t="s">
        <x:v>81</x:v>
      </x:c>
      <x:c r="E26" s="4" t="s">
        <x:v>8</x:v>
      </x:c>
      <x:c r="F26" s="4" t="s">
        <x:v>231</x:v>
      </x:c>
    </x:row>
    <x:row r="27">
      <x:c r="A27" s="4" t="s">
        <x:v>540</x:v>
      </x:c>
      <x:c r="B27" s="4" t="s">
        <x:v>82</x:v>
      </x:c>
      <x:c r="C27" s="4" t="s">
        <x:v>598</x:v>
      </x:c>
      <x:c r="D27" s="4" t="s">
        <x:v>81</x:v>
      </x:c>
      <x:c r="E27" s="4" t="s">
        <x:v>568</x:v>
      </x:c>
      <x:c r="F27" s="4" t="s">
        <x:v>231</x:v>
      </x:c>
    </x:row>
    <x:row r="28">
      <x:c r="A28" s="4" t="s">
        <x:v>443</x:v>
      </x:c>
      <x:c r="B28" s="4" t="s">
        <x:v>82</x:v>
      </x:c>
      <x:c r="C28" s="4" t="s">
        <x:v>599</x:v>
      </x:c>
      <x:c r="D28" s="4" t="s">
        <x:v>81</x:v>
      </x:c>
      <x:c r="E28" s="4" t="s">
        <x:v>33</x:v>
      </x:c>
      <x:c r="F28" s="4" t="s">
        <x:v>231</x:v>
      </x:c>
    </x:row>
    <x:row r="29">
      <x:c r="A29" s="4" t="s">
        <x:v>443</x:v>
      </x:c>
      <x:c r="B29" s="4" t="s">
        <x:v>82</x:v>
      </x:c>
      <x:c r="C29" s="4" t="s">
        <x:v>600</x:v>
      </x:c>
      <x:c r="D29" s="4" t="s">
        <x:v>119</x:v>
      </x:c>
      <x:c r="E29" s="4" t="s">
        <x:v>33</x:v>
      </x:c>
      <x:c r="F29" s="4" t="s">
        <x:v>231</x:v>
      </x:c>
    </x:row>
  </x:sheetData>
  <x:mergeCells>
    <x:mergeCell ref="A1:F1"/>
  </x:mergeCells>
  <x:conditionalFormatting sqref="F3:F29">
    <x:cfRule type="expression" dxfId="2" priority="1">
      <x:formula>F3="已完成"</x:formula>
    </x:cfRule>
    <x:cfRule type="expression" dxfId="3" priority="2">
      <x:formula>F3="阻塞"</x:formula>
    </x:cfRule>
  </x:conditionalFormatting>
  <x:dataValidations count="1">
    <x:dataValidation type="list" sqref="F3:F29">
      <x:formula1>"未开始,进行中,阻塞,已完成"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84fc9b164714d4c"/>
  </x:tableParts>
</x:worksheet>
</file>