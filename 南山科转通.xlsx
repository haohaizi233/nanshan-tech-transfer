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375"/>
  </bookViews>
  <sheets>
    <sheet name="总览" sheetId="1" r:id="rId1"/>
    <sheet name="需求拆分" sheetId="2" r:id="rId2"/>
    <sheet name="6日排期" sheetId="3" r:id="rId3"/>
    <sheet name="P0 API" sheetId="4" r:id="rId4"/>
    <sheet name="上线检查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<sst xmlns="http://schemas.openxmlformats.org/spreadsheetml/2006/main" count="1302" uniqueCount="601">
  <si>
    <t>南山科转通 — 6 个工作日上线执行总览</t>
  </si>
  <si>
    <t>指标</t>
  </si>
  <si>
    <t>值</t>
  </si>
  <si>
    <t>阶段</t>
  </si>
  <si>
    <t>日期</t>
  </si>
  <si>
    <t>核心目标</t>
  </si>
  <si>
    <t>Gate</t>
  </si>
  <si>
    <t>总任务数</t>
  </si>
  <si>
    <t>D1</t>
  </si>
  <si>
    <t>9/3 周四</t>
  </si>
  <si>
    <t>范围冻结 + FastAPI/后台/部署骨架</t>
  </si>
  <si>
    <t>FastAPI 可启动；API/SQL 不再大改；后台骨架可打开；部署资源缺口清晰</t>
  </si>
  <si>
    <t>P0 任务数</t>
  </si>
  <si>
    <t>D2</t>
  </si>
  <si>
    <t>9/4 周五</t>
  </si>
  <si>
    <t>三大核心资源纵向打通</t>
  </si>
  <si>
    <t>成果/需求/机构均实现 UI→FastAPI→SQL；后台可维护真实数据</t>
  </si>
  <si>
    <t>P1 任务数</t>
  </si>
  <si>
    <t>D3</t>
  </si>
  <si>
    <t>9/7 周一</t>
  </si>
  <si>
    <t>形成完整业务闭环</t>
  </si>
  <si>
    <t>用户提交→后台审核→用户端展示；发起对接→后台可处理</t>
  </si>
  <si>
    <t>已完成</t>
  </si>
  <si>
    <t>D4</t>
  </si>
  <si>
    <t>9/8 周二</t>
  </si>
  <si>
    <t>全量联调 + Production-like</t>
  </si>
  <si>
    <t>核心链路 Mock 清零；Staging 接近生产；AI 能联调或可降级</t>
  </si>
  <si>
    <t>进行中</t>
  </si>
  <si>
    <t>D5</t>
  </si>
  <si>
    <t>9/9 周三</t>
  </si>
  <si>
    <t>RC1 + Feature Freeze</t>
  </si>
  <si>
    <t>RC1 可完整演示；P0 Bug=0；发布流程演练通过</t>
  </si>
  <si>
    <t>阻塞</t>
  </si>
  <si>
    <t>D6</t>
  </si>
  <si>
    <t>9/10 周四</t>
  </si>
  <si>
    <t>正式上线/提审</t>
  </si>
  <si>
    <t>H5 正式可访问；后台可运营；FastAPI/SQL 正常；小程序可提审/已提审</t>
  </si>
  <si>
    <t>总预估工时</t>
  </si>
  <si>
    <t>本期明确延期（上线后再做）</t>
  </si>
  <si>
    <t>推荐算法</t>
  </si>
  <si>
    <t>个性化画像</t>
  </si>
  <si>
    <t>时间衰减/行为权重</t>
  </si>
  <si>
    <t>高级埋点</t>
  </si>
  <si>
    <t>Learning-to-Rank</t>
  </si>
  <si>
    <t>复杂 Dashboard</t>
  </si>
  <si>
    <t>微服务拆分</t>
  </si>
  <si>
    <t>先用精选/最新/热门</t>
  </si>
  <si>
    <t>上线后由数据驱动</t>
  </si>
  <si>
    <t>上线后和画像一起做</t>
  </si>
  <si>
    <t>上线后统一事件模型</t>
  </si>
  <si>
    <t>本期不做</t>
  </si>
  <si>
    <t>后台先可运营</t>
  </si>
  <si>
    <t>当前 Modular Monolith</t>
  </si>
  <si>
    <t>AI 由专人负责</t>
  </si>
  <si>
    <t>主工程只维护 Contract</t>
  </si>
  <si>
    <t>AI 失败必须可降级</t>
  </si>
  <si>
    <t/>
  </si>
  <si>
    <t>非必要 UI 重构</t>
  </si>
  <si>
    <t>D4 后集成为主</t>
  </si>
  <si>
    <t>D5 Feature Freeze</t>
  </si>
  <si>
    <t>D6 禁止加功能</t>
  </si>
  <si>
    <t>P0 优先</t>
  </si>
  <si>
    <t>P1 可降级</t>
  </si>
  <si>
    <t>P2 延期</t>
  </si>
  <si>
    <t>只修影响使用的问题</t>
  </si>
  <si>
    <t>南山科转通 — 6 个工作日 MVP 小需求拆分</t>
  </si>
  <si>
    <t>ID</t>
  </si>
  <si>
    <t>模块</t>
  </si>
  <si>
    <t>小需求</t>
  </si>
  <si>
    <t>工作内容</t>
  </si>
  <si>
    <t>负责人</t>
  </si>
  <si>
    <t>优先级</t>
  </si>
  <si>
    <t>计划日</t>
  </si>
  <si>
    <t>前置依赖</t>
  </si>
  <si>
    <t>验收标准</t>
  </si>
  <si>
    <t>预估工时(h)</t>
  </si>
  <si>
    <t>状态</t>
  </si>
  <si>
    <t>T001</t>
  </si>
  <si>
    <t>范围/架构</t>
  </si>
  <si>
    <t>冻结 MVP 范围</t>
  </si>
  <si>
    <t>明确本期做/不做；推荐算法、用户画像、高级埋点延后</t>
  </si>
  <si>
    <t>史博焱</t>
  </si>
  <si>
    <t>P0</t>
  </si>
  <si>
    <t>无</t>
  </si>
  <si>
    <t>形成书面冻结清单，成员确认后不再新增 P2 功能</t>
  </si>
  <si>
    <t>T002</t>
  </si>
  <si>
    <t>冻结页面路由</t>
  </si>
  <si>
    <t>确认宿主模拟入口、Standalone 入口、业务分包公共入口和内部路由</t>
  </si>
  <si>
    <t>路由树固定；无重复“我的”；无死入口</t>
  </si>
  <si>
    <t>T003</t>
  </si>
  <si>
    <t>冻结 P0 API</t>
  </si>
  <si>
    <t>FastAPI P0 Operation 清单定版</t>
  </si>
  <si>
    <t>P0 接口名称/方法/请求响应字段明确</t>
  </si>
  <si>
    <t>T004</t>
  </si>
  <si>
    <t>冻结核心 SQL</t>
  </si>
  <si>
    <t>确认上线必需表及字段，非必要字段延后</t>
  </si>
  <si>
    <t>核心表可支撑用户端和后台 P0 业务</t>
  </si>
  <si>
    <t>T005</t>
  </si>
  <si>
    <t>FastAPI基础</t>
  </si>
  <si>
    <t>应用启动骨架</t>
  </si>
  <si>
    <t>整理 main.py、router 注册、生命周期与健康检查</t>
  </si>
  <si>
    <t>uvicorn 可启动，/health 返回 200</t>
  </si>
  <si>
    <t>T006</t>
  </si>
  <si>
    <t>统一配置</t>
  </si>
  <si>
    <t>development/staging/production 环境变量与配置入口</t>
  </si>
  <si>
    <t>API/DB/上传等不硬编码生产地址</t>
  </si>
  <si>
    <t>T007</t>
  </si>
  <si>
    <t>DB Session</t>
  </si>
  <si>
    <t>建立连接池、Session/事务边界</t>
  </si>
  <si>
    <t>T004,T005</t>
  </si>
  <si>
    <t>接口可稳定连接 SQL，异常时正确回滚</t>
  </si>
  <si>
    <t>未开始</t>
  </si>
  <si>
    <t>T008</t>
  </si>
  <si>
    <t>统一响应/异常</t>
  </si>
  <si>
    <t>定义业务错误、HTTP 映射、统一异常处理</t>
  </si>
  <si>
    <t>P0 API 错误响应结构一致，无裸堆栈返回前端</t>
  </si>
  <si>
    <t>T041</t>
  </si>
  <si>
    <t>后台UI</t>
  </si>
  <si>
    <t>后台工程骨架</t>
  </si>
  <si>
    <t>登录页、布局、侧边栏、路由、ApiClient</t>
  </si>
  <si>
    <t>李任茂</t>
  </si>
  <si>
    <t>后台可启动并进入主框架</t>
  </si>
  <si>
    <t>T054</t>
  </si>
  <si>
    <t>AI集成</t>
  </si>
  <si>
    <t>AI Contract 对齐</t>
  </si>
  <si>
    <t>确认请求字段、taskId、状态、结果结构</t>
  </si>
  <si>
    <t>与 AI 负责人书面确认 Contract</t>
  </si>
  <si>
    <t>T058</t>
  </si>
  <si>
    <t>部署</t>
  </si>
  <si>
    <t>盘点部署资源</t>
  </si>
  <si>
    <r>
      <rPr>
        <sz val="11"/>
        <color theme="1"/>
        <rFont val="宋体"/>
        <charset val="134"/>
      </rPr>
      <t>服务器、域名、数据库、证书、对象存储、</t>
    </r>
    <r>
      <rPr>
        <sz val="11"/>
        <color theme="1"/>
        <rFont val="Carlito"/>
        <charset val="134"/>
      </rPr>
      <t>AppID</t>
    </r>
  </si>
  <si>
    <t>形成资源/账号/缺口清单</t>
  </si>
  <si>
    <t>T009</t>
  </si>
  <si>
    <t>鉴权上下文</t>
  </si>
  <si>
    <t>建立当前用户解析/依赖注入，兼容本地模拟身份</t>
  </si>
  <si>
    <t>D1-D2</t>
  </si>
  <si>
    <t>受保护接口可获取 current_user</t>
  </si>
  <si>
    <t>T010</t>
  </si>
  <si>
    <t>SQL</t>
  </si>
  <si>
    <t>Migration 基线</t>
  </si>
  <si>
    <t>建立/整理 Alembic migration 基线</t>
  </si>
  <si>
    <t>空库可一键迁移到当前版本</t>
  </si>
  <si>
    <t>T059</t>
  </si>
  <si>
    <t>Staging FastAPI</t>
  </si>
  <si>
    <t>部署测试后端，配置进程托管/重启</t>
  </si>
  <si>
    <t>T005,T058</t>
  </si>
  <si>
    <t>公网 HTTPS API 可访问 /health</t>
  </si>
  <si>
    <t>T011</t>
  </si>
  <si>
    <t>用户/身份表</t>
  </si>
  <si>
    <t>完善 app_user/local_user、external_identity</t>
  </si>
  <si>
    <t>唯一约束/索引合理，能映射外部身份</t>
  </si>
  <si>
    <t>T012</t>
  </si>
  <si>
    <t>成果表</t>
  </si>
  <si>
    <t>完善成果核心字段、状态、审核/上下架字段</t>
  </si>
  <si>
    <t>列表/详情/后台 CRUD 所需字段齐全</t>
  </si>
  <si>
    <t>T013</t>
  </si>
  <si>
    <t>需求表</t>
  </si>
  <si>
    <t>完善需求核心字段、状态、审核/上下架字段</t>
  </si>
  <si>
    <t>T014</t>
  </si>
  <si>
    <t>机构表</t>
  </si>
  <si>
    <t>统一 institution + type 模型</t>
  </si>
  <si>
    <t>银行/投资机构等无需分表即可展示</t>
  </si>
  <si>
    <t>T017</t>
  </si>
  <si>
    <t>用户端-成果</t>
  </si>
  <si>
    <t>成果列表 API</t>
  </si>
  <si>
    <t>GET /achievements，分页/筛选/排序</t>
  </si>
  <si>
    <t>T007,T012</t>
  </si>
  <si>
    <t>真实 SQL 返回，空数据/分页正常</t>
  </si>
  <si>
    <t>T018</t>
  </si>
  <si>
    <t>成果详情 API</t>
  </si>
  <si>
    <t>GET /achievements/{id}</t>
  </si>
  <si>
    <t>有效 id 返回详情；不存在返回 404 业务错误</t>
  </si>
  <si>
    <t>T021</t>
  </si>
  <si>
    <t>成果列表接真实 API</t>
  </si>
  <si>
    <t>移除列表 Mock，接 ApiClient</t>
  </si>
  <si>
    <t>H5/小程序列表真实展示数据库数据</t>
  </si>
  <si>
    <t>T022</t>
  </si>
  <si>
    <t>成果详情接真实 API</t>
  </si>
  <si>
    <t>详情页 Loading/Empty/Error/正常态</t>
  </si>
  <si>
    <t>详情页无静态假数据</t>
  </si>
  <si>
    <t>T023</t>
  </si>
  <si>
    <t>用户端-需求</t>
  </si>
  <si>
    <t>需求列表 API</t>
  </si>
  <si>
    <t>GET /demands</t>
  </si>
  <si>
    <t>T007,T013</t>
  </si>
  <si>
    <t>分页/筛选真实 SQL</t>
  </si>
  <si>
    <t>T024</t>
  </si>
  <si>
    <t>需求详情 API</t>
  </si>
  <si>
    <t>GET /demands/{id}</t>
  </si>
  <si>
    <t>详情与错误态正常</t>
  </si>
  <si>
    <t>T027</t>
  </si>
  <si>
    <t>需求列表接真实 API</t>
  </si>
  <si>
    <t>移除 Mock</t>
  </si>
  <si>
    <t>列表真实可用</t>
  </si>
  <si>
    <t>T028</t>
  </si>
  <si>
    <t>需求详情接真实 API</t>
  </si>
  <si>
    <t>详情状态完整</t>
  </si>
  <si>
    <t>详情真实可用</t>
  </si>
  <si>
    <t>T029</t>
  </si>
  <si>
    <t>用户端-机构</t>
  </si>
  <si>
    <t>机构列表 API</t>
  </si>
  <si>
    <t>GET /institutions?type=</t>
  </si>
  <si>
    <t>T007,T014</t>
  </si>
  <si>
    <t>银行/资本机构按 type 正常筛选</t>
  </si>
  <si>
    <t>T030</t>
  </si>
  <si>
    <t>机构详情 API</t>
  </si>
  <si>
    <t>GET /institutions/{id}</t>
  </si>
  <si>
    <t>T043</t>
  </si>
  <si>
    <t>后台-成果</t>
  </si>
  <si>
    <t>成果列表</t>
  </si>
  <si>
    <t>筛选、分页、审核状态、上下架状态</t>
  </si>
  <si>
    <t>T041,T012</t>
  </si>
  <si>
    <t>可查询真实数据</t>
  </si>
  <si>
    <t>T044</t>
  </si>
  <si>
    <t>成果新增/编辑</t>
  </si>
  <si>
    <t>表单和保存</t>
  </si>
  <si>
    <t>后台可维护成果</t>
  </si>
  <si>
    <t>T046</t>
  </si>
  <si>
    <t>后台-需求</t>
  </si>
  <si>
    <t>需求列表</t>
  </si>
  <si>
    <t>筛选、分页、状态</t>
  </si>
  <si>
    <t>T041,T013</t>
  </si>
  <si>
    <t>可查询真实需求</t>
  </si>
  <si>
    <t>T053</t>
  </si>
  <si>
    <t>后台-鉴权</t>
  </si>
  <si>
    <t>管理员登录</t>
  </si>
  <si>
    <t>最小管理员鉴权，不做复杂 RBAC</t>
  </si>
  <si>
    <t>未登录无法进入后台；登录可保持会话</t>
  </si>
  <si>
    <t>T060</t>
  </si>
  <si>
    <t>Staging H5</t>
  </si>
  <si>
    <t>H5 测试环境部署</t>
  </si>
  <si>
    <t>可通过测试 URL 访问，接口指向 Staging</t>
  </si>
  <si>
    <t>T061</t>
  </si>
  <si>
    <t>数据库部署</t>
  </si>
  <si>
    <t>Staging/Production 数据库与账号权限</t>
  </si>
  <si>
    <t>T010,T058</t>
  </si>
  <si>
    <t>Migration 可执行，最小权限账户可连接</t>
  </si>
  <si>
    <t>T015</t>
  </si>
  <si>
    <t>对接表</t>
  </si>
  <si>
    <t>connection 申请、处理状态、备注字段</t>
  </si>
  <si>
    <t>D2-D3</t>
  </si>
  <si>
    <t>用户提交后后台可处理状态</t>
  </si>
  <si>
    <t>T019</t>
  </si>
  <si>
    <t>发布成果 API</t>
  </si>
  <si>
    <t>POST /achievements</t>
  </si>
  <si>
    <t>T009,T012</t>
  </si>
  <si>
    <t>写入真实 SQL，默认进入正确审核状态</t>
  </si>
  <si>
    <t>T031</t>
  </si>
  <si>
    <t>机构页面接真实 API</t>
  </si>
  <si>
    <t>列表和详情去 Mock</t>
  </si>
  <si>
    <t>T029,T030</t>
  </si>
  <si>
    <t>用户端真实展示机构数据</t>
  </si>
  <si>
    <t>T047</t>
  </si>
  <si>
    <t>需求新增/编辑</t>
  </si>
  <si>
    <t>后台维护需求</t>
  </si>
  <si>
    <t>保存后真实入库</t>
  </si>
  <si>
    <t>T049</t>
  </si>
  <si>
    <t>后台-机构</t>
  </si>
  <si>
    <t>机构列表/表单</t>
  </si>
  <si>
    <t>统一机构类型 CRUD</t>
  </si>
  <si>
    <t>T041,T014</t>
  </si>
  <si>
    <t>机构可新增编辑并在用户端显示</t>
  </si>
  <si>
    <t>T016</t>
  </si>
  <si>
    <t>收藏表</t>
  </si>
  <si>
    <t>favorite 唯一约束与资源类型</t>
  </si>
  <si>
    <t>P1</t>
  </si>
  <si>
    <t>重复收藏不会产生重复记录</t>
  </si>
  <si>
    <t>T020</t>
  </si>
  <si>
    <t>编辑成果 API</t>
  </si>
  <si>
    <t>PATCH /achievements/{id}</t>
  </si>
  <si>
    <t>仅本人/允许角色可编辑，字段校验正常</t>
  </si>
  <si>
    <t>T025</t>
  </si>
  <si>
    <t>发布需求 API</t>
  </si>
  <si>
    <t>POST /demands</t>
  </si>
  <si>
    <t>T009,T013</t>
  </si>
  <si>
    <t>用户可提交需求并进入审核</t>
  </si>
  <si>
    <t>T026</t>
  </si>
  <si>
    <t>编辑需求 API</t>
  </si>
  <si>
    <t>PATCH /demands/{id}</t>
  </si>
  <si>
    <t>权限和校验正常</t>
  </si>
  <si>
    <t>T032</t>
  </si>
  <si>
    <t>用户端-用户</t>
  </si>
  <si>
    <t>GET /users/me</t>
  </si>
  <si>
    <t>当前用户基础资料</t>
  </si>
  <si>
    <t>T009,T011</t>
  </si>
  <si>
    <t>本地模拟身份/正式身份边界均可返回用户</t>
  </si>
  <si>
    <t>T033</t>
  </si>
  <si>
    <t>PATCH /users/me</t>
  </si>
  <si>
    <t>完善个人资料</t>
  </si>
  <si>
    <t>资料更新持久化</t>
  </si>
  <si>
    <t>T034</t>
  </si>
  <si>
    <t>用户端-我的</t>
  </si>
  <si>
    <t>我的成果</t>
  </si>
  <si>
    <t>GET /users/me/achievements + 页面复用</t>
  </si>
  <si>
    <t>T017,T032</t>
  </si>
  <si>
    <t>只显示当前用户成果</t>
  </si>
  <si>
    <t>T035</t>
  </si>
  <si>
    <t>我的需求</t>
  </si>
  <si>
    <t>GET /users/me/demands + 页面复用</t>
  </si>
  <si>
    <t>T023,T032</t>
  </si>
  <si>
    <t>只显示当前用户需求</t>
  </si>
  <si>
    <t>T036</t>
  </si>
  <si>
    <t>用户端-收藏</t>
  </si>
  <si>
    <t>收藏 API</t>
  </si>
  <si>
    <t>POST/DELETE/GET favorites 最小闭环</t>
  </si>
  <si>
    <t>T009,T016</t>
  </si>
  <si>
    <t>收藏/取消收藏幂等，页面状态一致</t>
  </si>
  <si>
    <t>T037</t>
  </si>
  <si>
    <t>用户端-对接</t>
  </si>
  <si>
    <t>发起对接 API</t>
  </si>
  <si>
    <t>POST /connections</t>
  </si>
  <si>
    <t>T009,T015</t>
  </si>
  <si>
    <t>用户发起后数据库生成 pending 记录</t>
  </si>
  <si>
    <t>T038</t>
  </si>
  <si>
    <t>我的对接 API</t>
  </si>
  <si>
    <t>GET /users/me/connections</t>
  </si>
  <si>
    <t>当前用户可查看申请状态</t>
  </si>
  <si>
    <t>T039</t>
  </si>
  <si>
    <t>对接按钮接真实 API</t>
  </si>
  <si>
    <t>成果/需求/机构详情发起对接</t>
  </si>
  <si>
    <t>提交成功/失败提示准确，重复提交有处理</t>
  </si>
  <si>
    <t>T040</t>
  </si>
  <si>
    <t>首页</t>
  </si>
  <si>
    <t>精选/最新内容</t>
  </si>
  <si>
    <t>第一版使用后台精选+最新/热门简单排序，不做推荐算法</t>
  </si>
  <si>
    <t>T017,T023</t>
  </si>
  <si>
    <t>首页无算法依赖即可稳定展示</t>
  </si>
  <si>
    <t>T045</t>
  </si>
  <si>
    <t>成果审核/上下架</t>
  </si>
  <si>
    <t>审核通过/驳回/上下架</t>
  </si>
  <si>
    <t>状态修改后用户端展示符合规则</t>
  </si>
  <si>
    <t>T048</t>
  </si>
  <si>
    <t>需求审核/上下架</t>
  </si>
  <si>
    <t>审核状态流转</t>
  </si>
  <si>
    <t>用户发布→后台审核→用户端展示闭环</t>
  </si>
  <si>
    <t>T050</t>
  </si>
  <si>
    <t>后台-对接</t>
  </si>
  <si>
    <t>对接申请列表</t>
  </si>
  <si>
    <t>查看申请人、目标资源、状态</t>
  </si>
  <si>
    <t>T015,T041</t>
  </si>
  <si>
    <t>用户提交后后台立即可查</t>
  </si>
  <si>
    <t>T051</t>
  </si>
  <si>
    <t>对接状态处理</t>
  </si>
  <si>
    <t>pending→processing/completed/rejected</t>
  </si>
  <si>
    <t>状态可修改并持久化</t>
  </si>
  <si>
    <t>T042</t>
  </si>
  <si>
    <t>Dashboard 极简页</t>
  </si>
  <si>
    <t>成果/需求/用户/对接统计卡片</t>
  </si>
  <si>
    <t>P2</t>
  </si>
  <si>
    <t>D3-D4</t>
  </si>
  <si>
    <t>只做统计卡，不做复杂图表</t>
  </si>
  <si>
    <t>T052</t>
  </si>
  <si>
    <t>后台-用户</t>
  </si>
  <si>
    <t>用户列表/详情</t>
  </si>
  <si>
    <t>只读基础资料和状态</t>
  </si>
  <si>
    <t>T011,T041</t>
  </si>
  <si>
    <t>后台可检索用户</t>
  </si>
  <si>
    <t>T062</t>
  </si>
  <si>
    <t>Nginx/HTTPS</t>
  </si>
  <si>
    <t>反向代理、证书、静态资源</t>
  </si>
  <si>
    <t>T059,T060</t>
  </si>
  <si>
    <t>HTTPS 无混合内容/证书错误</t>
  </si>
  <si>
    <t>T072</t>
  </si>
  <si>
    <t>联调</t>
  </si>
  <si>
    <t>用户发布→后台审核闭环</t>
  </si>
  <si>
    <t>需求/成果至少一条完整闭环</t>
  </si>
  <si>
    <t>T025,T045,T048</t>
  </si>
  <si>
    <t>真实操作能从用户端流转到后台再回用户端</t>
  </si>
  <si>
    <t>T055</t>
  </si>
  <si>
    <t>创建匹配任务接口</t>
  </si>
  <si>
    <t>POST /ai/match-tasks 对接 AI Owner</t>
  </si>
  <si>
    <t>可真实创建任务或明确返回服务不可用</t>
  </si>
  <si>
    <t>T056</t>
  </si>
  <si>
    <t>查询任务接口</t>
  </si>
  <si>
    <t>GET /ai/match-tasks/{taskId}</t>
  </si>
  <si>
    <t>queued/running/succeeded/failed 状态完整</t>
  </si>
  <si>
    <t>T057</t>
  </si>
  <si>
    <t>AI 页面联调</t>
  </si>
  <si>
    <t>前端任务页/结果页接真实接口</t>
  </si>
  <si>
    <t>无随机假结果；失败可提示</t>
  </si>
  <si>
    <t>T063</t>
  </si>
  <si>
    <t>CORS/合法域名</t>
  </si>
  <si>
    <t>H5 CORS、小程序 request/upload/download 域名</t>
  </si>
  <si>
    <t>H5 和小程序网络请求不被策略拦截</t>
  </si>
  <si>
    <t>T064</t>
  </si>
  <si>
    <t>Production 配置</t>
  </si>
  <si>
    <t>生产 env、密钥、日志、上传配置</t>
  </si>
  <si>
    <t>T006,T061</t>
  </si>
  <si>
    <t>生产敏感配置不进代码库</t>
  </si>
  <si>
    <t>T065</t>
  </si>
  <si>
    <t>日志与健康检查</t>
  </si>
  <si>
    <t>FastAPI access/error 日志，基础健康检查</t>
  </si>
  <si>
    <t>线上异常可定位，/health 可监测</t>
  </si>
  <si>
    <t>T071</t>
  </si>
  <si>
    <t>Mock 清零扫描</t>
  </si>
  <si>
    <t>正式链路移除静态假数据、hardcoded user/token/url</t>
  </si>
  <si>
    <t>T021,T027,T031</t>
  </si>
  <si>
    <t>Production/H5 核心链路无假数据</t>
  </si>
  <si>
    <t>T073</t>
  </si>
  <si>
    <t>对接闭环</t>
  </si>
  <si>
    <t>用户发起→后台处理→用户查看状态</t>
  </si>
  <si>
    <t>T039,T051</t>
  </si>
  <si>
    <t>状态两端一致</t>
  </si>
  <si>
    <t>T068</t>
  </si>
  <si>
    <t>小程序上线</t>
  </si>
  <si>
    <t>开发者工具构建</t>
  </si>
  <si>
    <t>检查分包、路由、包体、环境配置</t>
  </si>
  <si>
    <t>D4-D5</t>
  </si>
  <si>
    <t>无编译错误；体验版可打开核心页面</t>
  </si>
  <si>
    <t>T069</t>
  </si>
  <si>
    <t>隐私/权限/类目检查</t>
  </si>
  <si>
    <t>隐私保护指引、权限声明、类目、服务内容</t>
  </si>
  <si>
    <t>提审必填项无缺失</t>
  </si>
  <si>
    <t>T074</t>
  </si>
  <si>
    <t>测试</t>
  </si>
  <si>
    <t>空态/错误态</t>
  </si>
  <si>
    <t>无数据、404、401、500、网络失败处理</t>
  </si>
  <si>
    <t>核心页面不白屏，错误信息可理解</t>
  </si>
  <si>
    <t>T066</t>
  </si>
  <si>
    <t>备份与回滚</t>
  </si>
  <si>
    <t>DB 备份、发布前备份、回滚步骤</t>
  </si>
  <si>
    <t>能说明并演练回滚到上一版本</t>
  </si>
  <si>
    <t>T067</t>
  </si>
  <si>
    <t>正式部署演练</t>
  </si>
  <si>
    <t>按正式步骤跑一次 Staging 发布</t>
  </si>
  <si>
    <t>T062,T064,T066</t>
  </si>
  <si>
    <t>从 build 到 migration 到 smoke test 全流程通过</t>
  </si>
  <si>
    <t>T070</t>
  </si>
  <si>
    <t>体验版真机测试</t>
  </si>
  <si>
    <t>至少两台设备跑核心链路</t>
  </si>
  <si>
    <t>T068,T063</t>
  </si>
  <si>
    <t>无白屏/死路由/网络拦截</t>
  </si>
  <si>
    <t>T075</t>
  </si>
  <si>
    <t>RC1 全流程测试</t>
  </si>
  <si>
    <t>按验收路径做一次完整回归</t>
  </si>
  <si>
    <t>T067,T071,T072,T073</t>
  </si>
  <si>
    <t>无 P0 Bug；P1 有明确处理结论</t>
  </si>
  <si>
    <t>T076</t>
  </si>
  <si>
    <t>Bug 清零</t>
  </si>
  <si>
    <t>只修 P0/P1，不新增功能</t>
  </si>
  <si>
    <t>D5-D6</t>
  </si>
  <si>
    <t>P0=0，关键 P1=0 或有可接受降级</t>
  </si>
  <si>
    <t>T077</t>
  </si>
  <si>
    <t>发布</t>
  </si>
  <si>
    <t>代码冻结</t>
  </si>
  <si>
    <t>停止新功能/API/SQL 大改</t>
  </si>
  <si>
    <t>D5晚</t>
  </si>
  <si>
    <t>只允许 release bugfix</t>
  </si>
  <si>
    <t>T078</t>
  </si>
  <si>
    <t>Production Migration</t>
  </si>
  <si>
    <t>正式库备份后执行 migration</t>
  </si>
  <si>
    <t>T066,T077</t>
  </si>
  <si>
    <t>migration 成功且数据校验通过</t>
  </si>
  <si>
    <t>T079</t>
  </si>
  <si>
    <t>Production FastAPI</t>
  </si>
  <si>
    <t>发布正式后端</t>
  </si>
  <si>
    <t>/health、P0 API smoke pass</t>
  </si>
  <si>
    <t>T080</t>
  </si>
  <si>
    <t>Production H5</t>
  </si>
  <si>
    <t>发布正式 H5</t>
  </si>
  <si>
    <t>正式 URL 可访问，API/静态资源正常</t>
  </si>
  <si>
    <t>T081</t>
  </si>
  <si>
    <t>上线 Smoke Test</t>
  </si>
  <si>
    <t>首页→列表→详情→提交→后台→审核→对接</t>
  </si>
  <si>
    <t>T079,T080</t>
  </si>
  <si>
    <t>正式环境核心闭环通过</t>
  </si>
  <si>
    <t>T082</t>
  </si>
  <si>
    <t>小程序上传/提审</t>
  </si>
  <si>
    <t>上传最终版本并完成提审信息</t>
  </si>
  <si>
    <t>T069,T070,T081</t>
  </si>
  <si>
    <t>版本已提交或具备立即提交条件</t>
  </si>
  <si>
    <t>T083</t>
  </si>
  <si>
    <t>上线观察</t>
  </si>
  <si>
    <t>检查错误日志、数据库、关键接口</t>
  </si>
  <si>
    <t>D6晚</t>
  </si>
  <si>
    <t>无持续 5xx/连接异常</t>
  </si>
  <si>
    <t>南山科转通 — 6 日发布排期</t>
  </si>
  <si>
    <t>主题</t>
  </si>
  <si>
    <t>你</t>
  </si>
  <si>
    <t>协作者</t>
  </si>
  <si>
    <t>当日 Release Gate</t>
  </si>
  <si>
    <t>冻结 MVP/路由/P0 API/核心 SQL；FastAPI 启动、配置、DB、异常；确认 AI Contract</t>
  </si>
  <si>
    <t>部署资源盘点；后台骨架；Staging 后端准备</t>
  </si>
  <si>
    <t>成果/需求/机构 P0 API + 用户端列表详情真实联调</t>
  </si>
  <si>
    <t>核心 SQL migration；后台成果/需求/机构 CRUD；Staging H5/API</t>
  </si>
  <si>
    <t>用户/我的；发布需求/成果；对接；首页精选；P1 收藏视时间</t>
  </si>
  <si>
    <t>后台审核/上下架/对接处理/用户查看；数据库与后台补齐</t>
  </si>
  <si>
    <t>清核心 Mock；Auth；AI 接口；异常/空态；小程序构建检查</t>
  </si>
  <si>
    <t>Nginx/HTTPS/CORS/合法域名/生产配置/日志；部署接近正式</t>
  </si>
  <si>
    <t>完整回归、真机测试、修 P0/P1；晚上代码冻结</t>
  </si>
  <si>
    <t>正式部署演练、DB 备份回滚、小程序提审材料</t>
  </si>
  <si>
    <t>RC2；最终业务验收；Smoke Test；小程序上传/提审</t>
  </si>
  <si>
    <t>正式 migration、FastAPI/H5 发布、日志观察、回滚待命</t>
  </si>
  <si>
    <t>P0/P1 API 收口清单（FastAPI）</t>
  </si>
  <si>
    <t>领域</t>
  </si>
  <si>
    <t>Method</t>
  </si>
  <si>
    <t>Route</t>
  </si>
  <si>
    <t>用途</t>
  </si>
  <si>
    <t>Auth</t>
  </si>
  <si>
    <t>POST</t>
  </si>
  <si>
    <t>/api/tech-transfer/v1/auth/session</t>
  </si>
  <si>
    <t>建立会话/本地模拟身份</t>
  </si>
  <si>
    <t>DELETE</t>
  </si>
  <si>
    <t>退出会话</t>
  </si>
  <si>
    <t>Users</t>
  </si>
  <si>
    <t>GET</t>
  </si>
  <si>
    <t>/api/tech-transfer/v1/users/me</t>
  </si>
  <si>
    <t>当前用户资料</t>
  </si>
  <si>
    <t>PATCH</t>
  </si>
  <si>
    <t>更新个人资料</t>
  </si>
  <si>
    <t>Achievements</t>
  </si>
  <si>
    <t>/api/tech-transfer/v1/achievements</t>
  </si>
  <si>
    <t>/api/tech-transfer/v1/achievements/{id}</t>
  </si>
  <si>
    <t>成果详情</t>
  </si>
  <si>
    <t>发布成果</t>
  </si>
  <si>
    <t>编辑成果</t>
  </si>
  <si>
    <t>/api/tech-transfer/v1/users/me/achievements</t>
  </si>
  <si>
    <t>Demands</t>
  </si>
  <si>
    <t>/api/tech-transfer/v1/demands</t>
  </si>
  <si>
    <t>/api/tech-transfer/v1/demands/{id}</t>
  </si>
  <si>
    <t>需求详情</t>
  </si>
  <si>
    <t>发布需求</t>
  </si>
  <si>
    <t>编辑需求</t>
  </si>
  <si>
    <t>/api/tech-transfer/v1/users/me/demands</t>
  </si>
  <si>
    <t>Institutions</t>
  </si>
  <si>
    <t>/api/tech-transfer/v1/institutions</t>
  </si>
  <si>
    <t>机构列表，type 区分类型</t>
  </si>
  <si>
    <t>/api/tech-transfer/v1/institutions/{id}</t>
  </si>
  <si>
    <t>机构详情</t>
  </si>
  <si>
    <t>Connections</t>
  </si>
  <si>
    <t>/api/tech-transfer/v1/connections</t>
  </si>
  <si>
    <t>发起业务对接</t>
  </si>
  <si>
    <t>/api/tech-transfer/v1/users/me/connections</t>
  </si>
  <si>
    <t>我的对接</t>
  </si>
  <si>
    <t>Favorites</t>
  </si>
  <si>
    <t>/api/tech-transfer/v1/favorites</t>
  </si>
  <si>
    <t>我的收藏</t>
  </si>
  <si>
    <t>收藏</t>
  </si>
  <si>
    <t>/api/tech-transfer/v1/favorites/{id}</t>
  </si>
  <si>
    <t>取消收藏</t>
  </si>
  <si>
    <t>AI</t>
  </si>
  <si>
    <t>/api/tech-transfer/v1/ai/match-tasks</t>
  </si>
  <si>
    <t>创建 AI 匹配任务</t>
  </si>
  <si>
    <t>/api/tech-transfer/v1/ai/match-tasks/{taskId}</t>
  </si>
  <si>
    <t>查询 AI 匹配任务</t>
  </si>
  <si>
    <t>Admin</t>
  </si>
  <si>
    <t>/api/tech-transfer/v1/admin/auth/session</t>
  </si>
  <si>
    <t>GET/POST/PATCH</t>
  </si>
  <si>
    <t>/api/tech-transfer/v1/admin/achievements/...</t>
  </si>
  <si>
    <t>成果管理/审核/上下架</t>
  </si>
  <si>
    <t>/api/tech-transfer/v1/admin/demands/...</t>
  </si>
  <si>
    <t>需求管理/审核/上下架</t>
  </si>
  <si>
    <t>/api/tech-transfer/v1/admin/institutions/...</t>
  </si>
  <si>
    <t>机构管理</t>
  </si>
  <si>
    <t>GET/PATCH</t>
  </si>
  <si>
    <t>/api/tech-transfer/v1/admin/connections/...</t>
  </si>
  <si>
    <t>对接查看/处理</t>
  </si>
  <si>
    <t>/api/tech-transfer/v1/admin/users/...</t>
  </si>
  <si>
    <t>用户查看</t>
  </si>
  <si>
    <t>上线检查清单</t>
  </si>
  <si>
    <t>分类</t>
  </si>
  <si>
    <t>检查项</t>
  </si>
  <si>
    <t>最晚完成</t>
  </si>
  <si>
    <t>代码</t>
  </si>
  <si>
    <t>Production 不含核心 Mock/随机假结果/固定 userId/token</t>
  </si>
  <si>
    <t>Feature Freeze 后只允许修复 P0/P1 Bug</t>
  </si>
  <si>
    <t>FastAPI</t>
  </si>
  <si>
    <t>/health 正常；服务异常可自动重启</t>
  </si>
  <si>
    <t>D4-D6</t>
  </si>
  <si>
    <t>统一异常响应，不向客户端暴露堆栈/密钥</t>
  </si>
  <si>
    <t>数据库</t>
  </si>
  <si>
    <t>Migration 可从空库执行成功</t>
  </si>
  <si>
    <t>D2-D5</t>
  </si>
  <si>
    <t>正式发布前完成数据库备份</t>
  </si>
  <si>
    <t>准备并验证回滚步骤</t>
  </si>
  <si>
    <t>H5</t>
  </si>
  <si>
    <t>正式 HTTPS URL 可访问</t>
  </si>
  <si>
    <t>CORS、API Base URL、静态资源无错误</t>
  </si>
  <si>
    <t>小程序</t>
  </si>
  <si>
    <t>微信开发者工具构建通过</t>
  </si>
  <si>
    <t>分包路由/入口无死链</t>
  </si>
  <si>
    <t>request/upload/download 合法域名已配置</t>
  </si>
  <si>
    <t>隐私保护指引/权限/类目/版本信息准备完成</t>
  </si>
  <si>
    <t>至少一次体验版真机完整 Smoke Test</t>
  </si>
  <si>
    <t>业务</t>
  </si>
  <si>
    <t>成果列表→详情真实链路通过</t>
  </si>
  <si>
    <t>D2-D6</t>
  </si>
  <si>
    <t>需求列表→详情真实链路通过</t>
  </si>
  <si>
    <t>机构列表→详情真实链路通过</t>
  </si>
  <si>
    <t>用户提交→后台审核→用户端可见</t>
  </si>
  <si>
    <t>D3-D6</t>
  </si>
  <si>
    <t>发起对接→后台处理→用户端状态一致</t>
  </si>
  <si>
    <t>后台</t>
  </si>
  <si>
    <t>管理员登录有效</t>
  </si>
  <si>
    <t>成果/需求/机构可维护</t>
  </si>
  <si>
    <t>审核/上下架状态影响用户端展示</t>
  </si>
  <si>
    <t>对接申请可查看并处理</t>
  </si>
  <si>
    <t>AI Contract 已和负责人确认</t>
  </si>
  <si>
    <t>AI 不可用时主系统不会崩溃，能明确降级</t>
  </si>
  <si>
    <t>正式 FastAPI/H5 发布后 Smoke Test 通过</t>
  </si>
  <si>
    <t>线上日志无持续 5xx/DB 连接异常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</si>
</sst>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rlito"/>
      <charset val="134"/>
    </font>
    <font>
      <b/>
      <sz val="16"/>
      <color rgb="FFFFFFFF"/>
      <name val="Carlito"/>
      <charset val="134"/>
    </font>
    <font>
      <b/>
      <sz val="11"/>
      <color rgb="FF17365D"/>
      <name val="Carlito"/>
      <charset val="134"/>
    </font>
    <font>
      <sz val="11"/>
      <color theme="1"/>
      <name val="宋体"/>
      <charset val="134"/>
    </font>
    <font>
      <b/>
      <sz val="11"/>
      <color rgb="FF385723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rlito"/>
      <charset val="134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49"/>
    <xf numFmtId="0" fontId="0" fillId="0" borderId="0" xfId="49" applyAlignment="1">
      <alignment horizontal="center"/>
    </xf>
    <xf numFmtId="0" fontId="1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horizontal="center" wrapText="1"/>
    </xf>
    <xf numFmtId="0" fontId="0" fillId="0" borderId="0" xfId="49" applyAlignment="1">
      <alignment horizontal="center" vertical="center"/>
    </xf>
    <xf numFmtId="0" fontId="0" fillId="0" borderId="0" xfId="49" applyNumberFormat="1" applyFont="1" applyFill="1" applyBorder="1" applyAlignment="1">
      <alignment horizontal="center" vertical="center" wrapText="1"/>
    </xf>
    <xf numFmtId="0" fontId="3" fillId="0" borderId="0" xfId="49" applyNumberFormat="1" applyFont="1" applyFill="1" applyBorder="1" applyAlignment="1">
      <alignment horizontal="center" wrapText="1"/>
    </xf>
    <xf numFmtId="0" fontId="0" fillId="0" borderId="0" xfId="49" applyNumberFormat="1" applyFont="1" applyFill="1" applyBorder="1" applyAlignment="1">
      <alignment horizontal="center"/>
    </xf>
    <xf numFmtId="0" fontId="4" fillId="4" borderId="0" xfId="49" applyNumberFormat="1" applyFont="1" applyFill="1" applyBorder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1">
    <dxf>
      <font>
        <b val="1"/>
        <color rgb="FF9C0006"/>
      </font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color rgb="FF9C0006"/>
      </font>
      <fill>
        <patternFill patternType="solid">
          <bgColor rgb="FFF4CC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skBreakdownTable" displayName="TaskBreakdownTable" ref="A2:K85" totalsRowShown="0">
  <sortState ref="A2:K85">
    <sortCondition ref="G3"/>
  </sortState>
  <tableColumns count="11">
    <tableColumn id="1" name="ID"/>
    <tableColumn id="2" name="模块"/>
    <tableColumn id="3" name="小需求"/>
    <tableColumn id="4" name="工作内容"/>
    <tableColumn id="5" name="负责人"/>
    <tableColumn id="6" name="优先级"/>
    <tableColumn id="7" name="计划日"/>
    <tableColumn id="8" name="前置依赖"/>
    <tableColumn id="9" name="验收标准"/>
    <tableColumn id="10" name="预估工时(h)"/>
    <tableColumn id="11" name="状态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cheduleTable" displayName="ScheduleTable" ref="A2:F8" totalsRowShown="0">
  <tableColumns count="6">
    <tableColumn id="1" name="阶段"/>
    <tableColumn id="2" name="日期"/>
    <tableColumn id="3" name="主题"/>
    <tableColumn id="4" name="你"/>
    <tableColumn id="5" name="协作者"/>
    <tableColumn id="6" name="当日 Release G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piTable" displayName="ApiTable" ref="A2:F31" totalsRowShown="0">
  <tableColumns count="6">
    <tableColumn id="1" name="领域"/>
    <tableColumn id="2" name="Method"/>
    <tableColumn id="3" name="Route"/>
    <tableColumn id="4" name="用途"/>
    <tableColumn id="5" name="优先级"/>
    <tableColumn id="6" name="计划日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leaseChecklistTable" displayName="ReleaseChecklistTable" ref="A2:F29" totalsRowShown="0">
  <tableColumns count="6">
    <tableColumn id="1" name="分类"/>
    <tableColumn id="2" name="优先级"/>
    <tableColumn id="3" name="检查项"/>
    <tableColumn id="4" name="负责人"/>
    <tableColumn id="5" name="最晚完成"/>
    <tableColumn id="6" name="状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workbookViewId="0">
      <selection activeCell="F4" sqref="F4"/>
    </sheetView>
  </sheetViews>
  <sheetFormatPr defaultColWidth="30.25" defaultRowHeight="14.25" outlineLevelCol="6"/>
  <cols>
    <col min="1" max="1" width="16.625" style="1" customWidth="1"/>
    <col min="2" max="2" width="19.375" style="1" customWidth="1"/>
    <col min="3" max="4" width="17.5" style="1" customWidth="1"/>
    <col min="5" max="5" width="14.625" style="1" customWidth="1"/>
    <col min="6" max="6" width="28.875" style="1" customWidth="1"/>
    <col min="7" max="7" width="29.875" style="1" customWidth="1"/>
    <col min="8" max="16384" width="30.25" style="1" customWidth="1"/>
  </cols>
  <sheetData>
    <row r="1" ht="20.25" spans="1:7">
      <c r="A1" s="2" t="s">
        <v>0</v>
      </c>
      <c r="B1" s="2"/>
      <c r="C1" s="2"/>
      <c r="D1" s="2"/>
      <c r="E1" s="2"/>
      <c r="F1" s="2"/>
      <c r="G1" s="2"/>
    </row>
    <row r="3" ht="15" spans="1:7">
      <c r="A3" s="3" t="s">
        <v>1</v>
      </c>
      <c r="B3" s="3" t="s">
        <v>2</v>
      </c>
      <c r="D3" s="3" t="s">
        <v>3</v>
      </c>
      <c r="E3" s="3" t="s">
        <v>4</v>
      </c>
      <c r="F3" s="3" t="s">
        <v>5</v>
      </c>
      <c r="G3" s="3" t="s">
        <v>6</v>
      </c>
    </row>
    <row r="4" ht="41.25" spans="1:7">
      <c r="A4" s="8" t="s">
        <v>7</v>
      </c>
      <c r="B4" s="8">
        <f>COUNTA(需求拆分!A3:A85)</f>
        <v>83</v>
      </c>
      <c r="D4" s="4" t="s">
        <v>8</v>
      </c>
      <c r="E4" s="4" t="s">
        <v>9</v>
      </c>
      <c r="F4" s="4" t="s">
        <v>10</v>
      </c>
      <c r="G4" s="4" t="s">
        <v>11</v>
      </c>
    </row>
    <row r="5" ht="28.5" spans="1:7">
      <c r="A5" s="8" t="s">
        <v>12</v>
      </c>
      <c r="B5" s="8">
        <f>COUNTIF(需求拆分!F3:F85,"P0")</f>
        <v>71</v>
      </c>
      <c r="D5" s="4" t="s">
        <v>13</v>
      </c>
      <c r="E5" s="4" t="s">
        <v>14</v>
      </c>
      <c r="F5" s="4" t="s">
        <v>15</v>
      </c>
      <c r="G5" s="4" t="s">
        <v>16</v>
      </c>
    </row>
    <row r="6" ht="28.5" spans="1:7">
      <c r="A6" s="8" t="s">
        <v>17</v>
      </c>
      <c r="B6" s="8">
        <f>COUNTIF(需求拆分!F3:F85,"P1")</f>
        <v>11</v>
      </c>
      <c r="D6" s="4" t="s">
        <v>18</v>
      </c>
      <c r="E6" s="4" t="s">
        <v>19</v>
      </c>
      <c r="F6" s="4" t="s">
        <v>20</v>
      </c>
      <c r="G6" s="4" t="s">
        <v>21</v>
      </c>
    </row>
    <row r="7" ht="28.5" spans="1:7">
      <c r="A7" s="8" t="s">
        <v>22</v>
      </c>
      <c r="B7" s="8">
        <f>COUNTIF(需求拆分!K3:K85,"已完成")</f>
        <v>11</v>
      </c>
      <c r="D7" s="4" t="s">
        <v>23</v>
      </c>
      <c r="E7" s="4" t="s">
        <v>24</v>
      </c>
      <c r="F7" s="4" t="s">
        <v>25</v>
      </c>
      <c r="G7" s="4" t="s">
        <v>26</v>
      </c>
    </row>
    <row r="8" ht="27.75" spans="1:7">
      <c r="A8" s="8" t="s">
        <v>27</v>
      </c>
      <c r="B8" s="8">
        <f>COUNTIF(需求拆分!K3:K85,"进行中")</f>
        <v>0</v>
      </c>
      <c r="D8" s="4" t="s">
        <v>28</v>
      </c>
      <c r="E8" s="4" t="s">
        <v>29</v>
      </c>
      <c r="F8" s="4" t="s">
        <v>30</v>
      </c>
      <c r="G8" s="4" t="s">
        <v>31</v>
      </c>
    </row>
    <row r="9" ht="42" spans="1:7">
      <c r="A9" s="8" t="s">
        <v>32</v>
      </c>
      <c r="B9" s="8">
        <f>COUNTIF(需求拆分!K3:K85,"阻塞")</f>
        <v>2</v>
      </c>
      <c r="D9" s="4" t="s">
        <v>33</v>
      </c>
      <c r="E9" s="4" t="s">
        <v>34</v>
      </c>
      <c r="F9" s="4" t="s">
        <v>35</v>
      </c>
      <c r="G9" s="4" t="s">
        <v>36</v>
      </c>
    </row>
    <row r="10" spans="1:7">
      <c r="A10" s="8" t="s">
        <v>37</v>
      </c>
      <c r="B10" s="8">
        <f>SUM(需求拆分!J3:J85)</f>
        <v>145.5</v>
      </c>
    </row>
    <row r="12" ht="15" spans="1:7">
      <c r="A12" s="9" t="s">
        <v>38</v>
      </c>
      <c r="B12" s="9"/>
      <c r="C12" s="9"/>
      <c r="D12" s="9"/>
      <c r="E12" s="9"/>
      <c r="F12" s="9"/>
      <c r="G12" s="9"/>
    </row>
    <row r="13" spans="1:7">
      <c r="A13" s="4" t="s">
        <v>39</v>
      </c>
      <c r="B13" s="4" t="s">
        <v>40</v>
      </c>
      <c r="C13" s="4" t="s">
        <v>41</v>
      </c>
      <c r="D13" s="4" t="s">
        <v>42</v>
      </c>
      <c r="E13" s="4" t="s">
        <v>43</v>
      </c>
      <c r="F13" s="4" t="s">
        <v>44</v>
      </c>
      <c r="G13" s="4" t="s">
        <v>45</v>
      </c>
    </row>
    <row r="14" spans="1:7">
      <c r="A14" s="4" t="s">
        <v>46</v>
      </c>
      <c r="B14" s="4" t="s">
        <v>47</v>
      </c>
      <c r="C14" s="4" t="s">
        <v>48</v>
      </c>
      <c r="D14" s="4" t="s">
        <v>49</v>
      </c>
      <c r="E14" s="4" t="s">
        <v>50</v>
      </c>
      <c r="F14" s="4" t="s">
        <v>51</v>
      </c>
      <c r="G14" s="4" t="s">
        <v>52</v>
      </c>
    </row>
    <row r="15" spans="1:7">
      <c r="A15" s="4" t="s">
        <v>53</v>
      </c>
      <c r="B15" s="4" t="s">
        <v>54</v>
      </c>
      <c r="C15" s="4" t="s">
        <v>55</v>
      </c>
      <c r="D15" s="4" t="s">
        <v>56</v>
      </c>
      <c r="E15" s="4" t="s">
        <v>56</v>
      </c>
      <c r="F15" s="4" t="s">
        <v>56</v>
      </c>
      <c r="G15" s="4" t="s">
        <v>57</v>
      </c>
    </row>
    <row r="16" spans="1:7">
      <c r="A16" s="4" t="s">
        <v>58</v>
      </c>
      <c r="B16" s="4" t="s">
        <v>59</v>
      </c>
      <c r="C16" s="4" t="s">
        <v>60</v>
      </c>
      <c r="D16" s="4" t="s">
        <v>61</v>
      </c>
      <c r="E16" s="4" t="s">
        <v>62</v>
      </c>
      <c r="F16" s="4" t="s">
        <v>63</v>
      </c>
      <c r="G16" s="4" t="s">
        <v>64</v>
      </c>
    </row>
  </sheetData>
  <mergeCells count="2">
    <mergeCell ref="A1:G1"/>
    <mergeCell ref="A12:G1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5"/>
  <sheetViews>
    <sheetView topLeftCell="A27" workbookViewId="0">
      <selection activeCell="K9" sqref="K9"/>
    </sheetView>
  </sheetViews>
  <sheetFormatPr defaultColWidth="9" defaultRowHeight="14.25"/>
  <cols>
    <col min="1" max="1" width="4.75" style="1" customWidth="1"/>
    <col min="2" max="2" width="10.75" style="1" customWidth="1"/>
    <col min="3" max="3" width="21.25" style="1" customWidth="1"/>
    <col min="4" max="4" width="57.125" style="1" customWidth="1"/>
    <col min="5" max="7" width="6.625" style="1" customWidth="1"/>
    <col min="8" max="8" width="17.625" style="1" customWidth="1"/>
    <col min="9" max="9" width="41.375" style="1" customWidth="1"/>
    <col min="10" max="10" width="11" style="1" customWidth="1"/>
    <col min="11" max="11" width="6.25" style="1" customWidth="1"/>
    <col min="12" max="16384" width="9" style="1"/>
  </cols>
  <sheetData>
    <row r="1" ht="20.25" spans="1:11">
      <c r="A1" s="2" t="s">
        <v>65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5" spans="1:11">
      <c r="A2" s="3" t="s">
        <v>66</v>
      </c>
      <c r="B2" s="3" t="s">
        <v>67</v>
      </c>
      <c r="C2" s="3" t="s">
        <v>68</v>
      </c>
      <c r="D2" s="3" t="s">
        <v>69</v>
      </c>
      <c r="E2" s="3" t="s">
        <v>70</v>
      </c>
      <c r="F2" s="3" t="s">
        <v>71</v>
      </c>
      <c r="G2" s="3" t="s">
        <v>72</v>
      </c>
      <c r="H2" s="3" t="s">
        <v>73</v>
      </c>
      <c r="I2" s="3" t="s">
        <v>74</v>
      </c>
      <c r="J2" s="3" t="s">
        <v>75</v>
      </c>
      <c r="K2" s="3" t="s">
        <v>76</v>
      </c>
    </row>
    <row r="3" spans="1:11">
      <c r="A3" s="4" t="s">
        <v>77</v>
      </c>
      <c r="B3" s="4" t="s">
        <v>78</v>
      </c>
      <c r="C3" s="4" t="s">
        <v>79</v>
      </c>
      <c r="D3" s="4" t="s">
        <v>80</v>
      </c>
      <c r="E3" s="4" t="s">
        <v>81</v>
      </c>
      <c r="F3" s="4" t="s">
        <v>82</v>
      </c>
      <c r="G3" s="4" t="s">
        <v>8</v>
      </c>
      <c r="H3" s="4" t="s">
        <v>83</v>
      </c>
      <c r="I3" s="4" t="s">
        <v>84</v>
      </c>
      <c r="J3" s="4">
        <v>1</v>
      </c>
      <c r="K3" s="4" t="s">
        <v>22</v>
      </c>
    </row>
    <row r="4" spans="1:11">
      <c r="A4" s="4" t="s">
        <v>85</v>
      </c>
      <c r="B4" s="4" t="s">
        <v>78</v>
      </c>
      <c r="C4" s="4" t="s">
        <v>86</v>
      </c>
      <c r="D4" s="4" t="s">
        <v>87</v>
      </c>
      <c r="E4" s="4" t="s">
        <v>81</v>
      </c>
      <c r="F4" s="4" t="s">
        <v>82</v>
      </c>
      <c r="G4" s="4" t="s">
        <v>8</v>
      </c>
      <c r="H4" s="4" t="s">
        <v>77</v>
      </c>
      <c r="I4" s="4" t="s">
        <v>88</v>
      </c>
      <c r="J4" s="4">
        <v>1.5</v>
      </c>
      <c r="K4" s="4" t="s">
        <v>22</v>
      </c>
    </row>
    <row r="5" spans="1:11">
      <c r="A5" s="4" t="s">
        <v>89</v>
      </c>
      <c r="B5" s="4" t="s">
        <v>78</v>
      </c>
      <c r="C5" s="4" t="s">
        <v>90</v>
      </c>
      <c r="D5" s="4" t="s">
        <v>91</v>
      </c>
      <c r="E5" s="4" t="s">
        <v>81</v>
      </c>
      <c r="F5" s="4" t="s">
        <v>82</v>
      </c>
      <c r="G5" s="4" t="s">
        <v>8</v>
      </c>
      <c r="H5" s="4" t="s">
        <v>77</v>
      </c>
      <c r="I5" s="4" t="s">
        <v>92</v>
      </c>
      <c r="J5" s="4">
        <v>2</v>
      </c>
      <c r="K5" s="4" t="s">
        <v>22</v>
      </c>
    </row>
    <row r="6" spans="1:11">
      <c r="A6" s="4" t="s">
        <v>93</v>
      </c>
      <c r="B6" s="4" t="s">
        <v>78</v>
      </c>
      <c r="C6" s="4" t="s">
        <v>94</v>
      </c>
      <c r="D6" s="4" t="s">
        <v>95</v>
      </c>
      <c r="E6" s="4" t="s">
        <v>81</v>
      </c>
      <c r="F6" s="4" t="s">
        <v>82</v>
      </c>
      <c r="G6" s="4" t="s">
        <v>8</v>
      </c>
      <c r="H6" s="4" t="s">
        <v>77</v>
      </c>
      <c r="I6" s="4" t="s">
        <v>96</v>
      </c>
      <c r="J6" s="4">
        <v>2</v>
      </c>
      <c r="K6" s="4" t="s">
        <v>22</v>
      </c>
    </row>
    <row r="7" spans="1:11">
      <c r="A7" s="4" t="s">
        <v>97</v>
      </c>
      <c r="B7" s="4" t="s">
        <v>98</v>
      </c>
      <c r="C7" s="4" t="s">
        <v>99</v>
      </c>
      <c r="D7" s="4" t="s">
        <v>100</v>
      </c>
      <c r="E7" s="4" t="s">
        <v>81</v>
      </c>
      <c r="F7" s="4" t="s">
        <v>82</v>
      </c>
      <c r="G7" s="4" t="s">
        <v>8</v>
      </c>
      <c r="H7" s="4" t="s">
        <v>89</v>
      </c>
      <c r="I7" s="4" t="s">
        <v>101</v>
      </c>
      <c r="J7" s="4">
        <v>2</v>
      </c>
      <c r="K7" s="4" t="s">
        <v>22</v>
      </c>
    </row>
    <row r="8" spans="1:11">
      <c r="A8" s="4" t="s">
        <v>102</v>
      </c>
      <c r="B8" s="4" t="s">
        <v>98</v>
      </c>
      <c r="C8" s="4" t="s">
        <v>103</v>
      </c>
      <c r="D8" s="4" t="s">
        <v>104</v>
      </c>
      <c r="E8" s="4" t="s">
        <v>81</v>
      </c>
      <c r="F8" s="4" t="s">
        <v>82</v>
      </c>
      <c r="G8" s="4" t="s">
        <v>8</v>
      </c>
      <c r="H8" s="4" t="s">
        <v>97</v>
      </c>
      <c r="I8" s="4" t="s">
        <v>105</v>
      </c>
      <c r="J8" s="4">
        <v>1.5</v>
      </c>
      <c r="K8" s="4" t="s">
        <v>22</v>
      </c>
    </row>
    <row r="9" spans="1:11">
      <c r="A9" s="4" t="s">
        <v>106</v>
      </c>
      <c r="B9" s="4" t="s">
        <v>98</v>
      </c>
      <c r="C9" s="4" t="s">
        <v>107</v>
      </c>
      <c r="D9" s="4" t="s">
        <v>108</v>
      </c>
      <c r="E9" s="4" t="s">
        <v>81</v>
      </c>
      <c r="F9" s="4" t="s">
        <v>82</v>
      </c>
      <c r="G9" s="4" t="s">
        <v>8</v>
      </c>
      <c r="H9" s="4" t="s">
        <v>109</v>
      </c>
      <c r="I9" s="4" t="s">
        <v>110</v>
      </c>
      <c r="J9" s="4">
        <v>2</v>
      </c>
      <c r="K9" s="4" t="s">
        <v>111</v>
      </c>
    </row>
    <row r="10" spans="1:11">
      <c r="A10" s="4" t="s">
        <v>112</v>
      </c>
      <c r="B10" s="4" t="s">
        <v>98</v>
      </c>
      <c r="C10" s="4" t="s">
        <v>113</v>
      </c>
      <c r="D10" s="4" t="s">
        <v>114</v>
      </c>
      <c r="E10" s="4" t="s">
        <v>81</v>
      </c>
      <c r="F10" s="4" t="s">
        <v>82</v>
      </c>
      <c r="G10" s="4" t="s">
        <v>8</v>
      </c>
      <c r="H10" s="4" t="s">
        <v>97</v>
      </c>
      <c r="I10" s="4" t="s">
        <v>115</v>
      </c>
      <c r="J10" s="4">
        <v>2</v>
      </c>
      <c r="K10" s="4" t="s">
        <v>22</v>
      </c>
    </row>
    <row r="11" spans="1:11">
      <c r="A11" s="4" t="s">
        <v>116</v>
      </c>
      <c r="B11" s="4" t="s">
        <v>117</v>
      </c>
      <c r="C11" s="4" t="s">
        <v>118</v>
      </c>
      <c r="D11" s="4" t="s">
        <v>119</v>
      </c>
      <c r="E11" s="4" t="s">
        <v>120</v>
      </c>
      <c r="F11" s="4" t="s">
        <v>82</v>
      </c>
      <c r="G11" s="4" t="s">
        <v>8</v>
      </c>
      <c r="H11" s="4" t="s">
        <v>77</v>
      </c>
      <c r="I11" s="4" t="s">
        <v>121</v>
      </c>
      <c r="J11" s="4">
        <v>3</v>
      </c>
      <c r="K11" s="4" t="s">
        <v>22</v>
      </c>
    </row>
    <row r="12" spans="1:11">
      <c r="A12" s="4" t="s">
        <v>122</v>
      </c>
      <c r="B12" s="4" t="s">
        <v>123</v>
      </c>
      <c r="C12" s="4" t="s">
        <v>124</v>
      </c>
      <c r="D12" s="4" t="s">
        <v>125</v>
      </c>
      <c r="E12" s="4" t="s">
        <v>81</v>
      </c>
      <c r="F12" s="4" t="s">
        <v>82</v>
      </c>
      <c r="G12" s="4" t="s">
        <v>8</v>
      </c>
      <c r="H12" s="4" t="s">
        <v>89</v>
      </c>
      <c r="I12" s="4" t="s">
        <v>126</v>
      </c>
      <c r="J12" s="4">
        <v>1</v>
      </c>
      <c r="K12" s="4" t="s">
        <v>32</v>
      </c>
    </row>
    <row r="13" spans="1:11">
      <c r="A13" s="4" t="s">
        <v>127</v>
      </c>
      <c r="B13" s="4" t="s">
        <v>128</v>
      </c>
      <c r="C13" s="4" t="s">
        <v>129</v>
      </c>
      <c r="D13" s="7" t="s">
        <v>130</v>
      </c>
      <c r="E13" s="4" t="s">
        <v>120</v>
      </c>
      <c r="F13" s="4" t="s">
        <v>82</v>
      </c>
      <c r="G13" s="4" t="s">
        <v>8</v>
      </c>
      <c r="H13" s="4" t="s">
        <v>83</v>
      </c>
      <c r="I13" s="4" t="s">
        <v>131</v>
      </c>
      <c r="J13" s="4">
        <v>1.5</v>
      </c>
      <c r="K13" s="4" t="s">
        <v>22</v>
      </c>
    </row>
    <row r="14" spans="1:11">
      <c r="A14" s="4" t="s">
        <v>132</v>
      </c>
      <c r="B14" s="4" t="s">
        <v>98</v>
      </c>
      <c r="C14" s="4" t="s">
        <v>133</v>
      </c>
      <c r="D14" s="4" t="s">
        <v>134</v>
      </c>
      <c r="E14" s="4" t="s">
        <v>81</v>
      </c>
      <c r="F14" s="4" t="s">
        <v>82</v>
      </c>
      <c r="G14" s="4" t="s">
        <v>135</v>
      </c>
      <c r="H14" s="4" t="s">
        <v>97</v>
      </c>
      <c r="I14" s="4" t="s">
        <v>136</v>
      </c>
      <c r="J14" s="4">
        <v>2.5</v>
      </c>
      <c r="K14" s="4" t="s">
        <v>32</v>
      </c>
    </row>
    <row r="15" spans="1:11">
      <c r="A15" s="4" t="s">
        <v>137</v>
      </c>
      <c r="B15" s="4" t="s">
        <v>138</v>
      </c>
      <c r="C15" s="4" t="s">
        <v>139</v>
      </c>
      <c r="D15" s="4" t="s">
        <v>140</v>
      </c>
      <c r="E15" s="4" t="s">
        <v>120</v>
      </c>
      <c r="F15" s="4" t="s">
        <v>82</v>
      </c>
      <c r="G15" s="4" t="s">
        <v>135</v>
      </c>
      <c r="H15" s="4" t="s">
        <v>93</v>
      </c>
      <c r="I15" s="4" t="s">
        <v>141</v>
      </c>
      <c r="J15" s="4">
        <v>2.5</v>
      </c>
      <c r="K15" s="4" t="s">
        <v>22</v>
      </c>
    </row>
    <row r="16" spans="1:11">
      <c r="A16" s="4" t="s">
        <v>142</v>
      </c>
      <c r="B16" s="4" t="s">
        <v>128</v>
      </c>
      <c r="C16" s="4" t="s">
        <v>143</v>
      </c>
      <c r="D16" s="4" t="s">
        <v>144</v>
      </c>
      <c r="E16" s="4" t="s">
        <v>120</v>
      </c>
      <c r="F16" s="4" t="s">
        <v>82</v>
      </c>
      <c r="G16" s="4" t="s">
        <v>135</v>
      </c>
      <c r="H16" s="4" t="s">
        <v>145</v>
      </c>
      <c r="I16" s="4" t="s">
        <v>146</v>
      </c>
      <c r="J16" s="4">
        <v>2.5</v>
      </c>
      <c r="K16" s="4" t="s">
        <v>22</v>
      </c>
    </row>
    <row r="17" spans="1:11">
      <c r="A17" s="4" t="s">
        <v>147</v>
      </c>
      <c r="B17" s="4" t="s">
        <v>138</v>
      </c>
      <c r="C17" s="4" t="s">
        <v>148</v>
      </c>
      <c r="D17" s="4" t="s">
        <v>149</v>
      </c>
      <c r="E17" s="4" t="s">
        <v>120</v>
      </c>
      <c r="F17" s="4" t="s">
        <v>82</v>
      </c>
      <c r="G17" s="4" t="s">
        <v>13</v>
      </c>
      <c r="H17" s="4" t="s">
        <v>137</v>
      </c>
      <c r="I17" s="4" t="s">
        <v>150</v>
      </c>
      <c r="J17" s="4">
        <v>2</v>
      </c>
      <c r="K17" s="4" t="s">
        <v>111</v>
      </c>
    </row>
    <row r="18" spans="1:11">
      <c r="A18" s="4" t="s">
        <v>151</v>
      </c>
      <c r="B18" s="4" t="s">
        <v>138</v>
      </c>
      <c r="C18" s="4" t="s">
        <v>152</v>
      </c>
      <c r="D18" s="4" t="s">
        <v>153</v>
      </c>
      <c r="E18" s="4" t="s">
        <v>120</v>
      </c>
      <c r="F18" s="4" t="s">
        <v>82</v>
      </c>
      <c r="G18" s="4" t="s">
        <v>13</v>
      </c>
      <c r="H18" s="4" t="s">
        <v>137</v>
      </c>
      <c r="I18" s="4" t="s">
        <v>154</v>
      </c>
      <c r="J18" s="4">
        <v>2</v>
      </c>
      <c r="K18" s="4" t="s">
        <v>111</v>
      </c>
    </row>
    <row r="19" spans="1:11">
      <c r="A19" s="4" t="s">
        <v>155</v>
      </c>
      <c r="B19" s="4" t="s">
        <v>138</v>
      </c>
      <c r="C19" s="4" t="s">
        <v>156</v>
      </c>
      <c r="D19" s="4" t="s">
        <v>157</v>
      </c>
      <c r="E19" s="4" t="s">
        <v>120</v>
      </c>
      <c r="F19" s="4" t="s">
        <v>82</v>
      </c>
      <c r="G19" s="4" t="s">
        <v>13</v>
      </c>
      <c r="H19" s="4" t="s">
        <v>137</v>
      </c>
      <c r="I19" s="4" t="s">
        <v>154</v>
      </c>
      <c r="J19" s="4">
        <v>2</v>
      </c>
      <c r="K19" s="4" t="s">
        <v>111</v>
      </c>
    </row>
    <row r="20" spans="1:11">
      <c r="A20" s="4" t="s">
        <v>158</v>
      </c>
      <c r="B20" s="4" t="s">
        <v>138</v>
      </c>
      <c r="C20" s="4" t="s">
        <v>159</v>
      </c>
      <c r="D20" s="4" t="s">
        <v>160</v>
      </c>
      <c r="E20" s="4" t="s">
        <v>120</v>
      </c>
      <c r="F20" s="4" t="s">
        <v>82</v>
      </c>
      <c r="G20" s="4" t="s">
        <v>13</v>
      </c>
      <c r="H20" s="4" t="s">
        <v>137</v>
      </c>
      <c r="I20" s="4" t="s">
        <v>161</v>
      </c>
      <c r="J20" s="4">
        <v>1.5</v>
      </c>
      <c r="K20" s="4" t="s">
        <v>111</v>
      </c>
    </row>
    <row r="21" spans="1:11">
      <c r="A21" s="4" t="s">
        <v>162</v>
      </c>
      <c r="B21" s="4" t="s">
        <v>163</v>
      </c>
      <c r="C21" s="4" t="s">
        <v>164</v>
      </c>
      <c r="D21" s="4" t="s">
        <v>165</v>
      </c>
      <c r="E21" s="4" t="s">
        <v>81</v>
      </c>
      <c r="F21" s="4" t="s">
        <v>82</v>
      </c>
      <c r="G21" s="4" t="s">
        <v>13</v>
      </c>
      <c r="H21" s="4" t="s">
        <v>166</v>
      </c>
      <c r="I21" s="4" t="s">
        <v>167</v>
      </c>
      <c r="J21" s="4">
        <v>2</v>
      </c>
      <c r="K21" s="4" t="s">
        <v>111</v>
      </c>
    </row>
    <row r="22" spans="1:11">
      <c r="A22" s="4" t="s">
        <v>168</v>
      </c>
      <c r="B22" s="4" t="s">
        <v>163</v>
      </c>
      <c r="C22" s="4" t="s">
        <v>169</v>
      </c>
      <c r="D22" s="4" t="s">
        <v>170</v>
      </c>
      <c r="E22" s="4" t="s">
        <v>81</v>
      </c>
      <c r="F22" s="4" t="s">
        <v>82</v>
      </c>
      <c r="G22" s="4" t="s">
        <v>13</v>
      </c>
      <c r="H22" s="4" t="s">
        <v>162</v>
      </c>
      <c r="I22" s="4" t="s">
        <v>171</v>
      </c>
      <c r="J22" s="4">
        <v>1.5</v>
      </c>
      <c r="K22" s="4" t="s">
        <v>111</v>
      </c>
    </row>
    <row r="23" spans="1:11">
      <c r="A23" s="4" t="s">
        <v>172</v>
      </c>
      <c r="B23" s="4" t="s">
        <v>163</v>
      </c>
      <c r="C23" s="4" t="s">
        <v>173</v>
      </c>
      <c r="D23" s="4" t="s">
        <v>174</v>
      </c>
      <c r="E23" s="4" t="s">
        <v>81</v>
      </c>
      <c r="F23" s="4" t="s">
        <v>82</v>
      </c>
      <c r="G23" s="4" t="s">
        <v>13</v>
      </c>
      <c r="H23" s="4" t="s">
        <v>162</v>
      </c>
      <c r="I23" s="4" t="s">
        <v>175</v>
      </c>
      <c r="J23" s="4">
        <v>2</v>
      </c>
      <c r="K23" s="4" t="s">
        <v>111</v>
      </c>
    </row>
    <row r="24" spans="1:11">
      <c r="A24" s="4" t="s">
        <v>176</v>
      </c>
      <c r="B24" s="4" t="s">
        <v>163</v>
      </c>
      <c r="C24" s="4" t="s">
        <v>177</v>
      </c>
      <c r="D24" s="4" t="s">
        <v>178</v>
      </c>
      <c r="E24" s="4" t="s">
        <v>81</v>
      </c>
      <c r="F24" s="4" t="s">
        <v>82</v>
      </c>
      <c r="G24" s="4" t="s">
        <v>13</v>
      </c>
      <c r="H24" s="4" t="s">
        <v>168</v>
      </c>
      <c r="I24" s="4" t="s">
        <v>179</v>
      </c>
      <c r="J24" s="4">
        <v>2</v>
      </c>
      <c r="K24" s="4" t="s">
        <v>111</v>
      </c>
    </row>
    <row r="25" spans="1:11">
      <c r="A25" s="4" t="s">
        <v>180</v>
      </c>
      <c r="B25" s="4" t="s">
        <v>181</v>
      </c>
      <c r="C25" s="4" t="s">
        <v>182</v>
      </c>
      <c r="D25" s="4" t="s">
        <v>183</v>
      </c>
      <c r="E25" s="4" t="s">
        <v>81</v>
      </c>
      <c r="F25" s="4" t="s">
        <v>82</v>
      </c>
      <c r="G25" s="4" t="s">
        <v>13</v>
      </c>
      <c r="H25" s="4" t="s">
        <v>184</v>
      </c>
      <c r="I25" s="4" t="s">
        <v>185</v>
      </c>
      <c r="J25" s="4">
        <v>2</v>
      </c>
      <c r="K25" s="4" t="s">
        <v>111</v>
      </c>
    </row>
    <row r="26" spans="1:11">
      <c r="A26" s="4" t="s">
        <v>186</v>
      </c>
      <c r="B26" s="4" t="s">
        <v>181</v>
      </c>
      <c r="C26" s="4" t="s">
        <v>187</v>
      </c>
      <c r="D26" s="4" t="s">
        <v>188</v>
      </c>
      <c r="E26" s="4" t="s">
        <v>81</v>
      </c>
      <c r="F26" s="4" t="s">
        <v>82</v>
      </c>
      <c r="G26" s="4" t="s">
        <v>13</v>
      </c>
      <c r="H26" s="4" t="s">
        <v>180</v>
      </c>
      <c r="I26" s="4" t="s">
        <v>189</v>
      </c>
      <c r="J26" s="4">
        <v>1.5</v>
      </c>
      <c r="K26" s="4" t="s">
        <v>111</v>
      </c>
    </row>
    <row r="27" spans="1:11">
      <c r="A27" s="4" t="s">
        <v>190</v>
      </c>
      <c r="B27" s="4" t="s">
        <v>181</v>
      </c>
      <c r="C27" s="4" t="s">
        <v>191</v>
      </c>
      <c r="D27" s="4" t="s">
        <v>192</v>
      </c>
      <c r="E27" s="4" t="s">
        <v>81</v>
      </c>
      <c r="F27" s="4" t="s">
        <v>82</v>
      </c>
      <c r="G27" s="4" t="s">
        <v>13</v>
      </c>
      <c r="H27" s="4" t="s">
        <v>180</v>
      </c>
      <c r="I27" s="4" t="s">
        <v>193</v>
      </c>
      <c r="J27" s="4">
        <v>2</v>
      </c>
      <c r="K27" s="4" t="s">
        <v>111</v>
      </c>
    </row>
    <row r="28" spans="1:11">
      <c r="A28" s="4" t="s">
        <v>194</v>
      </c>
      <c r="B28" s="4" t="s">
        <v>181</v>
      </c>
      <c r="C28" s="4" t="s">
        <v>195</v>
      </c>
      <c r="D28" s="4" t="s">
        <v>196</v>
      </c>
      <c r="E28" s="4" t="s">
        <v>81</v>
      </c>
      <c r="F28" s="4" t="s">
        <v>82</v>
      </c>
      <c r="G28" s="4" t="s">
        <v>13</v>
      </c>
      <c r="H28" s="4" t="s">
        <v>186</v>
      </c>
      <c r="I28" s="4" t="s">
        <v>197</v>
      </c>
      <c r="J28" s="4">
        <v>1.5</v>
      </c>
      <c r="K28" s="4" t="s">
        <v>111</v>
      </c>
    </row>
    <row r="29" spans="1:11">
      <c r="A29" s="4" t="s">
        <v>198</v>
      </c>
      <c r="B29" s="4" t="s">
        <v>199</v>
      </c>
      <c r="C29" s="4" t="s">
        <v>200</v>
      </c>
      <c r="D29" s="4" t="s">
        <v>201</v>
      </c>
      <c r="E29" s="4" t="s">
        <v>81</v>
      </c>
      <c r="F29" s="4" t="s">
        <v>82</v>
      </c>
      <c r="G29" s="4" t="s">
        <v>13</v>
      </c>
      <c r="H29" s="4" t="s">
        <v>202</v>
      </c>
      <c r="I29" s="4" t="s">
        <v>203</v>
      </c>
      <c r="J29" s="4">
        <v>1.5</v>
      </c>
      <c r="K29" s="4" t="s">
        <v>111</v>
      </c>
    </row>
    <row r="30" spans="1:11">
      <c r="A30" s="4" t="s">
        <v>204</v>
      </c>
      <c r="B30" s="4" t="s">
        <v>199</v>
      </c>
      <c r="C30" s="4" t="s">
        <v>205</v>
      </c>
      <c r="D30" s="4" t="s">
        <v>206</v>
      </c>
      <c r="E30" s="4" t="s">
        <v>81</v>
      </c>
      <c r="F30" s="4" t="s">
        <v>82</v>
      </c>
      <c r="G30" s="4" t="s">
        <v>13</v>
      </c>
      <c r="H30" s="4" t="s">
        <v>198</v>
      </c>
      <c r="I30" s="4" t="s">
        <v>197</v>
      </c>
      <c r="J30" s="4">
        <v>1</v>
      </c>
      <c r="K30" s="4" t="s">
        <v>111</v>
      </c>
    </row>
    <row r="31" spans="1:11">
      <c r="A31" s="4" t="s">
        <v>207</v>
      </c>
      <c r="B31" s="4" t="s">
        <v>208</v>
      </c>
      <c r="C31" s="4" t="s">
        <v>209</v>
      </c>
      <c r="D31" s="4" t="s">
        <v>210</v>
      </c>
      <c r="E31" s="4" t="s">
        <v>120</v>
      </c>
      <c r="F31" s="4" t="s">
        <v>82</v>
      </c>
      <c r="G31" s="4" t="s">
        <v>13</v>
      </c>
      <c r="H31" s="4" t="s">
        <v>211</v>
      </c>
      <c r="I31" s="4" t="s">
        <v>212</v>
      </c>
      <c r="J31" s="4">
        <v>2</v>
      </c>
      <c r="K31" s="4" t="s">
        <v>111</v>
      </c>
    </row>
    <row r="32" spans="1:11">
      <c r="A32" s="4" t="s">
        <v>213</v>
      </c>
      <c r="B32" s="4" t="s">
        <v>208</v>
      </c>
      <c r="C32" s="4" t="s">
        <v>214</v>
      </c>
      <c r="D32" s="4" t="s">
        <v>215</v>
      </c>
      <c r="E32" s="4" t="s">
        <v>120</v>
      </c>
      <c r="F32" s="4" t="s">
        <v>82</v>
      </c>
      <c r="G32" s="4" t="s">
        <v>13</v>
      </c>
      <c r="H32" s="4" t="s">
        <v>207</v>
      </c>
      <c r="I32" s="4" t="s">
        <v>216</v>
      </c>
      <c r="J32" s="4">
        <v>2.5</v>
      </c>
      <c r="K32" s="4" t="s">
        <v>111</v>
      </c>
    </row>
    <row r="33" spans="1:11">
      <c r="A33" s="4" t="s">
        <v>217</v>
      </c>
      <c r="B33" s="4" t="s">
        <v>218</v>
      </c>
      <c r="C33" s="4" t="s">
        <v>219</v>
      </c>
      <c r="D33" s="4" t="s">
        <v>220</v>
      </c>
      <c r="E33" s="4" t="s">
        <v>120</v>
      </c>
      <c r="F33" s="4" t="s">
        <v>82</v>
      </c>
      <c r="G33" s="4" t="s">
        <v>13</v>
      </c>
      <c r="H33" s="4" t="s">
        <v>221</v>
      </c>
      <c r="I33" s="4" t="s">
        <v>222</v>
      </c>
      <c r="J33" s="4">
        <v>2</v>
      </c>
      <c r="K33" s="4" t="s">
        <v>111</v>
      </c>
    </row>
    <row r="34" spans="1:11">
      <c r="A34" s="4" t="s">
        <v>223</v>
      </c>
      <c r="B34" s="4" t="s">
        <v>224</v>
      </c>
      <c r="C34" s="4" t="s">
        <v>225</v>
      </c>
      <c r="D34" s="4" t="s">
        <v>226</v>
      </c>
      <c r="E34" s="4" t="s">
        <v>120</v>
      </c>
      <c r="F34" s="4" t="s">
        <v>82</v>
      </c>
      <c r="G34" s="4" t="s">
        <v>13</v>
      </c>
      <c r="H34" s="4" t="s">
        <v>116</v>
      </c>
      <c r="I34" s="4" t="s">
        <v>227</v>
      </c>
      <c r="J34" s="4">
        <v>2</v>
      </c>
      <c r="K34" s="4" t="s">
        <v>111</v>
      </c>
    </row>
    <row r="35" spans="1:11">
      <c r="A35" s="4" t="s">
        <v>228</v>
      </c>
      <c r="B35" s="4" t="s">
        <v>128</v>
      </c>
      <c r="C35" s="4" t="s">
        <v>229</v>
      </c>
      <c r="D35" s="4" t="s">
        <v>230</v>
      </c>
      <c r="E35" s="4" t="s">
        <v>120</v>
      </c>
      <c r="F35" s="4" t="s">
        <v>82</v>
      </c>
      <c r="G35" s="4" t="s">
        <v>13</v>
      </c>
      <c r="H35" s="4" t="s">
        <v>127</v>
      </c>
      <c r="I35" s="4" t="s">
        <v>231</v>
      </c>
      <c r="J35" s="4">
        <v>2</v>
      </c>
      <c r="K35" s="4" t="s">
        <v>111</v>
      </c>
    </row>
    <row r="36" spans="1:11">
      <c r="A36" s="4" t="s">
        <v>232</v>
      </c>
      <c r="B36" s="4" t="s">
        <v>128</v>
      </c>
      <c r="C36" s="4" t="s">
        <v>233</v>
      </c>
      <c r="D36" s="4" t="s">
        <v>234</v>
      </c>
      <c r="E36" s="4" t="s">
        <v>120</v>
      </c>
      <c r="F36" s="4" t="s">
        <v>82</v>
      </c>
      <c r="G36" s="4" t="s">
        <v>13</v>
      </c>
      <c r="H36" s="4" t="s">
        <v>235</v>
      </c>
      <c r="I36" s="4" t="s">
        <v>236</v>
      </c>
      <c r="J36" s="4">
        <v>2</v>
      </c>
      <c r="K36" s="4" t="s">
        <v>111</v>
      </c>
    </row>
    <row r="37" spans="1:11">
      <c r="A37" s="4" t="s">
        <v>237</v>
      </c>
      <c r="B37" s="4" t="s">
        <v>138</v>
      </c>
      <c r="C37" s="4" t="s">
        <v>238</v>
      </c>
      <c r="D37" s="4" t="s">
        <v>239</v>
      </c>
      <c r="E37" s="4" t="s">
        <v>120</v>
      </c>
      <c r="F37" s="4" t="s">
        <v>82</v>
      </c>
      <c r="G37" s="4" t="s">
        <v>240</v>
      </c>
      <c r="H37" s="4" t="s">
        <v>137</v>
      </c>
      <c r="I37" s="4" t="s">
        <v>241</v>
      </c>
      <c r="J37" s="4">
        <v>1.5</v>
      </c>
      <c r="K37" s="4" t="s">
        <v>111</v>
      </c>
    </row>
    <row r="38" spans="1:11">
      <c r="A38" s="4" t="s">
        <v>242</v>
      </c>
      <c r="B38" s="4" t="s">
        <v>163</v>
      </c>
      <c r="C38" s="4" t="s">
        <v>243</v>
      </c>
      <c r="D38" s="4" t="s">
        <v>244</v>
      </c>
      <c r="E38" s="4" t="s">
        <v>81</v>
      </c>
      <c r="F38" s="4" t="s">
        <v>82</v>
      </c>
      <c r="G38" s="4" t="s">
        <v>240</v>
      </c>
      <c r="H38" s="4" t="s">
        <v>245</v>
      </c>
      <c r="I38" s="4" t="s">
        <v>246</v>
      </c>
      <c r="J38" s="4">
        <v>2</v>
      </c>
      <c r="K38" s="4" t="s">
        <v>111</v>
      </c>
    </row>
    <row r="39" spans="1:11">
      <c r="A39" s="4" t="s">
        <v>247</v>
      </c>
      <c r="B39" s="4" t="s">
        <v>199</v>
      </c>
      <c r="C39" s="4" t="s">
        <v>248</v>
      </c>
      <c r="D39" s="4" t="s">
        <v>249</v>
      </c>
      <c r="E39" s="4" t="s">
        <v>81</v>
      </c>
      <c r="F39" s="4" t="s">
        <v>82</v>
      </c>
      <c r="G39" s="4" t="s">
        <v>240</v>
      </c>
      <c r="H39" s="4" t="s">
        <v>250</v>
      </c>
      <c r="I39" s="4" t="s">
        <v>251</v>
      </c>
      <c r="J39" s="4">
        <v>2</v>
      </c>
      <c r="K39" s="4" t="s">
        <v>111</v>
      </c>
    </row>
    <row r="40" spans="1:11">
      <c r="A40" s="4" t="s">
        <v>252</v>
      </c>
      <c r="B40" s="4" t="s">
        <v>218</v>
      </c>
      <c r="C40" s="4" t="s">
        <v>253</v>
      </c>
      <c r="D40" s="4" t="s">
        <v>254</v>
      </c>
      <c r="E40" s="4" t="s">
        <v>120</v>
      </c>
      <c r="F40" s="4" t="s">
        <v>82</v>
      </c>
      <c r="G40" s="4" t="s">
        <v>240</v>
      </c>
      <c r="H40" s="4" t="s">
        <v>217</v>
      </c>
      <c r="I40" s="4" t="s">
        <v>255</v>
      </c>
      <c r="J40" s="4">
        <v>2.5</v>
      </c>
      <c r="K40" s="4" t="s">
        <v>111</v>
      </c>
    </row>
    <row r="41" spans="1:11">
      <c r="A41" s="4" t="s">
        <v>256</v>
      </c>
      <c r="B41" s="4" t="s">
        <v>257</v>
      </c>
      <c r="C41" s="4" t="s">
        <v>258</v>
      </c>
      <c r="D41" s="4" t="s">
        <v>259</v>
      </c>
      <c r="E41" s="4" t="s">
        <v>120</v>
      </c>
      <c r="F41" s="4" t="s">
        <v>82</v>
      </c>
      <c r="G41" s="4" t="s">
        <v>240</v>
      </c>
      <c r="H41" s="4" t="s">
        <v>260</v>
      </c>
      <c r="I41" s="4" t="s">
        <v>261</v>
      </c>
      <c r="J41" s="4">
        <v>2.5</v>
      </c>
      <c r="K41" s="4" t="s">
        <v>111</v>
      </c>
    </row>
    <row r="42" spans="1:11">
      <c r="A42" s="4" t="s">
        <v>262</v>
      </c>
      <c r="B42" s="4" t="s">
        <v>138</v>
      </c>
      <c r="C42" s="4" t="s">
        <v>263</v>
      </c>
      <c r="D42" s="4" t="s">
        <v>264</v>
      </c>
      <c r="E42" s="4" t="s">
        <v>120</v>
      </c>
      <c r="F42" s="4" t="s">
        <v>265</v>
      </c>
      <c r="G42" s="4" t="s">
        <v>18</v>
      </c>
      <c r="H42" s="4" t="s">
        <v>137</v>
      </c>
      <c r="I42" s="4" t="s">
        <v>266</v>
      </c>
      <c r="J42" s="4">
        <v>1</v>
      </c>
      <c r="K42" s="4" t="s">
        <v>111</v>
      </c>
    </row>
    <row r="43" spans="1:11">
      <c r="A43" s="4" t="s">
        <v>267</v>
      </c>
      <c r="B43" s="4" t="s">
        <v>163</v>
      </c>
      <c r="C43" s="4" t="s">
        <v>268</v>
      </c>
      <c r="D43" s="4" t="s">
        <v>269</v>
      </c>
      <c r="E43" s="4" t="s">
        <v>81</v>
      </c>
      <c r="F43" s="4" t="s">
        <v>265</v>
      </c>
      <c r="G43" s="4" t="s">
        <v>18</v>
      </c>
      <c r="H43" s="4" t="s">
        <v>242</v>
      </c>
      <c r="I43" s="4" t="s">
        <v>270</v>
      </c>
      <c r="J43" s="4">
        <v>1.5</v>
      </c>
      <c r="K43" s="4" t="s">
        <v>111</v>
      </c>
    </row>
    <row r="44" spans="1:11">
      <c r="A44" s="4" t="s">
        <v>271</v>
      </c>
      <c r="B44" s="4" t="s">
        <v>181</v>
      </c>
      <c r="C44" s="4" t="s">
        <v>272</v>
      </c>
      <c r="D44" s="4" t="s">
        <v>273</v>
      </c>
      <c r="E44" s="4" t="s">
        <v>81</v>
      </c>
      <c r="F44" s="4" t="s">
        <v>82</v>
      </c>
      <c r="G44" s="4" t="s">
        <v>18</v>
      </c>
      <c r="H44" s="4" t="s">
        <v>274</v>
      </c>
      <c r="I44" s="4" t="s">
        <v>275</v>
      </c>
      <c r="J44" s="4">
        <v>2</v>
      </c>
      <c r="K44" s="4" t="s">
        <v>111</v>
      </c>
    </row>
    <row r="45" spans="1:11">
      <c r="A45" s="4" t="s">
        <v>276</v>
      </c>
      <c r="B45" s="4" t="s">
        <v>181</v>
      </c>
      <c r="C45" s="4" t="s">
        <v>277</v>
      </c>
      <c r="D45" s="4" t="s">
        <v>278</v>
      </c>
      <c r="E45" s="4" t="s">
        <v>81</v>
      </c>
      <c r="F45" s="4" t="s">
        <v>265</v>
      </c>
      <c r="G45" s="4" t="s">
        <v>18</v>
      </c>
      <c r="H45" s="4" t="s">
        <v>271</v>
      </c>
      <c r="I45" s="4" t="s">
        <v>279</v>
      </c>
      <c r="J45" s="4">
        <v>1.5</v>
      </c>
      <c r="K45" s="4" t="s">
        <v>111</v>
      </c>
    </row>
    <row r="46" spans="1:11">
      <c r="A46" s="4" t="s">
        <v>280</v>
      </c>
      <c r="B46" s="4" t="s">
        <v>281</v>
      </c>
      <c r="C46" s="4" t="s">
        <v>282</v>
      </c>
      <c r="D46" s="4" t="s">
        <v>283</v>
      </c>
      <c r="E46" s="4" t="s">
        <v>81</v>
      </c>
      <c r="F46" s="4" t="s">
        <v>82</v>
      </c>
      <c r="G46" s="4" t="s">
        <v>18</v>
      </c>
      <c r="H46" s="4" t="s">
        <v>284</v>
      </c>
      <c r="I46" s="4" t="s">
        <v>285</v>
      </c>
      <c r="J46" s="4">
        <v>1.5</v>
      </c>
      <c r="K46" s="4" t="s">
        <v>111</v>
      </c>
    </row>
    <row r="47" spans="1:11">
      <c r="A47" s="4" t="s">
        <v>286</v>
      </c>
      <c r="B47" s="4" t="s">
        <v>281</v>
      </c>
      <c r="C47" s="4" t="s">
        <v>287</v>
      </c>
      <c r="D47" s="4" t="s">
        <v>288</v>
      </c>
      <c r="E47" s="4" t="s">
        <v>81</v>
      </c>
      <c r="F47" s="4" t="s">
        <v>265</v>
      </c>
      <c r="G47" s="4" t="s">
        <v>18</v>
      </c>
      <c r="H47" s="4" t="s">
        <v>280</v>
      </c>
      <c r="I47" s="4" t="s">
        <v>289</v>
      </c>
      <c r="J47" s="4">
        <v>1</v>
      </c>
      <c r="K47" s="4" t="s">
        <v>111</v>
      </c>
    </row>
    <row r="48" spans="1:11">
      <c r="A48" s="4" t="s">
        <v>290</v>
      </c>
      <c r="B48" s="4" t="s">
        <v>291</v>
      </c>
      <c r="C48" s="4" t="s">
        <v>292</v>
      </c>
      <c r="D48" s="4" t="s">
        <v>293</v>
      </c>
      <c r="E48" s="4" t="s">
        <v>81</v>
      </c>
      <c r="F48" s="4" t="s">
        <v>265</v>
      </c>
      <c r="G48" s="4" t="s">
        <v>18</v>
      </c>
      <c r="H48" s="4" t="s">
        <v>294</v>
      </c>
      <c r="I48" s="4" t="s">
        <v>295</v>
      </c>
      <c r="J48" s="4">
        <v>1.5</v>
      </c>
      <c r="K48" s="4" t="s">
        <v>111</v>
      </c>
    </row>
    <row r="49" spans="1:11">
      <c r="A49" s="4" t="s">
        <v>296</v>
      </c>
      <c r="B49" s="4" t="s">
        <v>291</v>
      </c>
      <c r="C49" s="4" t="s">
        <v>297</v>
      </c>
      <c r="D49" s="4" t="s">
        <v>298</v>
      </c>
      <c r="E49" s="4" t="s">
        <v>81</v>
      </c>
      <c r="F49" s="4" t="s">
        <v>265</v>
      </c>
      <c r="G49" s="4" t="s">
        <v>18</v>
      </c>
      <c r="H49" s="4" t="s">
        <v>299</v>
      </c>
      <c r="I49" s="4" t="s">
        <v>300</v>
      </c>
      <c r="J49" s="4">
        <v>1.5</v>
      </c>
      <c r="K49" s="4" t="s">
        <v>111</v>
      </c>
    </row>
    <row r="50" spans="1:11">
      <c r="A50" s="4" t="s">
        <v>301</v>
      </c>
      <c r="B50" s="4" t="s">
        <v>302</v>
      </c>
      <c r="C50" s="4" t="s">
        <v>303</v>
      </c>
      <c r="D50" s="4" t="s">
        <v>304</v>
      </c>
      <c r="E50" s="4" t="s">
        <v>81</v>
      </c>
      <c r="F50" s="4" t="s">
        <v>265</v>
      </c>
      <c r="G50" s="4" t="s">
        <v>18</v>
      </c>
      <c r="H50" s="4" t="s">
        <v>305</v>
      </c>
      <c r="I50" s="4" t="s">
        <v>306</v>
      </c>
      <c r="J50" s="4">
        <v>2</v>
      </c>
      <c r="K50" s="4" t="s">
        <v>111</v>
      </c>
    </row>
    <row r="51" spans="1:11">
      <c r="A51" s="4" t="s">
        <v>307</v>
      </c>
      <c r="B51" s="4" t="s">
        <v>308</v>
      </c>
      <c r="C51" s="4" t="s">
        <v>309</v>
      </c>
      <c r="D51" s="4" t="s">
        <v>310</v>
      </c>
      <c r="E51" s="4" t="s">
        <v>81</v>
      </c>
      <c r="F51" s="4" t="s">
        <v>82</v>
      </c>
      <c r="G51" s="4" t="s">
        <v>18</v>
      </c>
      <c r="H51" s="4" t="s">
        <v>311</v>
      </c>
      <c r="I51" s="4" t="s">
        <v>312</v>
      </c>
      <c r="J51" s="4">
        <v>1.5</v>
      </c>
      <c r="K51" s="4" t="s">
        <v>111</v>
      </c>
    </row>
    <row r="52" spans="1:11">
      <c r="A52" s="4" t="s">
        <v>313</v>
      </c>
      <c r="B52" s="4" t="s">
        <v>308</v>
      </c>
      <c r="C52" s="4" t="s">
        <v>314</v>
      </c>
      <c r="D52" s="4" t="s">
        <v>315</v>
      </c>
      <c r="E52" s="4" t="s">
        <v>81</v>
      </c>
      <c r="F52" s="4" t="s">
        <v>265</v>
      </c>
      <c r="G52" s="4" t="s">
        <v>18</v>
      </c>
      <c r="H52" s="4" t="s">
        <v>307</v>
      </c>
      <c r="I52" s="4" t="s">
        <v>316</v>
      </c>
      <c r="J52" s="4">
        <v>1</v>
      </c>
      <c r="K52" s="4" t="s">
        <v>111</v>
      </c>
    </row>
    <row r="53" spans="1:11">
      <c r="A53" s="4" t="s">
        <v>317</v>
      </c>
      <c r="B53" s="4" t="s">
        <v>308</v>
      </c>
      <c r="C53" s="4" t="s">
        <v>318</v>
      </c>
      <c r="D53" s="4" t="s">
        <v>319</v>
      </c>
      <c r="E53" s="4" t="s">
        <v>81</v>
      </c>
      <c r="F53" s="4" t="s">
        <v>82</v>
      </c>
      <c r="G53" s="4" t="s">
        <v>18</v>
      </c>
      <c r="H53" s="4" t="s">
        <v>307</v>
      </c>
      <c r="I53" s="4" t="s">
        <v>320</v>
      </c>
      <c r="J53" s="4">
        <v>1.5</v>
      </c>
      <c r="K53" s="4" t="s">
        <v>111</v>
      </c>
    </row>
    <row r="54" spans="1:11">
      <c r="A54" s="4" t="s">
        <v>321</v>
      </c>
      <c r="B54" s="4" t="s">
        <v>322</v>
      </c>
      <c r="C54" s="4" t="s">
        <v>323</v>
      </c>
      <c r="D54" s="4" t="s">
        <v>324</v>
      </c>
      <c r="E54" s="4" t="s">
        <v>81</v>
      </c>
      <c r="F54" s="4" t="s">
        <v>265</v>
      </c>
      <c r="G54" s="4" t="s">
        <v>18</v>
      </c>
      <c r="H54" s="4" t="s">
        <v>325</v>
      </c>
      <c r="I54" s="4" t="s">
        <v>326</v>
      </c>
      <c r="J54" s="4">
        <v>1.5</v>
      </c>
      <c r="K54" s="4" t="s">
        <v>111</v>
      </c>
    </row>
    <row r="55" spans="1:11">
      <c r="A55" s="4" t="s">
        <v>327</v>
      </c>
      <c r="B55" s="4" t="s">
        <v>208</v>
      </c>
      <c r="C55" s="4" t="s">
        <v>328</v>
      </c>
      <c r="D55" s="4" t="s">
        <v>329</v>
      </c>
      <c r="E55" s="4" t="s">
        <v>120</v>
      </c>
      <c r="F55" s="4" t="s">
        <v>82</v>
      </c>
      <c r="G55" s="4" t="s">
        <v>18</v>
      </c>
      <c r="H55" s="4" t="s">
        <v>207</v>
      </c>
      <c r="I55" s="4" t="s">
        <v>330</v>
      </c>
      <c r="J55" s="4">
        <v>2</v>
      </c>
      <c r="K55" s="4" t="s">
        <v>111</v>
      </c>
    </row>
    <row r="56" spans="1:11">
      <c r="A56" s="4" t="s">
        <v>331</v>
      </c>
      <c r="B56" s="4" t="s">
        <v>218</v>
      </c>
      <c r="C56" s="4" t="s">
        <v>332</v>
      </c>
      <c r="D56" s="4" t="s">
        <v>333</v>
      </c>
      <c r="E56" s="4" t="s">
        <v>120</v>
      </c>
      <c r="F56" s="4" t="s">
        <v>82</v>
      </c>
      <c r="G56" s="4" t="s">
        <v>18</v>
      </c>
      <c r="H56" s="4" t="s">
        <v>217</v>
      </c>
      <c r="I56" s="4" t="s">
        <v>334</v>
      </c>
      <c r="J56" s="4">
        <v>2</v>
      </c>
      <c r="K56" s="4" t="s">
        <v>111</v>
      </c>
    </row>
    <row r="57" spans="1:11">
      <c r="A57" s="4" t="s">
        <v>335</v>
      </c>
      <c r="B57" s="4" t="s">
        <v>336</v>
      </c>
      <c r="C57" s="4" t="s">
        <v>337</v>
      </c>
      <c r="D57" s="4" t="s">
        <v>338</v>
      </c>
      <c r="E57" s="4" t="s">
        <v>120</v>
      </c>
      <c r="F57" s="4" t="s">
        <v>82</v>
      </c>
      <c r="G57" s="4" t="s">
        <v>18</v>
      </c>
      <c r="H57" s="4" t="s">
        <v>339</v>
      </c>
      <c r="I57" s="4" t="s">
        <v>340</v>
      </c>
      <c r="J57" s="4">
        <v>1.5</v>
      </c>
      <c r="K57" s="4" t="s">
        <v>111</v>
      </c>
    </row>
    <row r="58" spans="1:11">
      <c r="A58" s="4" t="s">
        <v>341</v>
      </c>
      <c r="B58" s="4" t="s">
        <v>336</v>
      </c>
      <c r="C58" s="4" t="s">
        <v>342</v>
      </c>
      <c r="D58" s="4" t="s">
        <v>343</v>
      </c>
      <c r="E58" s="4" t="s">
        <v>120</v>
      </c>
      <c r="F58" s="4" t="s">
        <v>82</v>
      </c>
      <c r="G58" s="4" t="s">
        <v>18</v>
      </c>
      <c r="H58" s="4" t="s">
        <v>335</v>
      </c>
      <c r="I58" s="4" t="s">
        <v>344</v>
      </c>
      <c r="J58" s="4">
        <v>1.5</v>
      </c>
      <c r="K58" s="4" t="s">
        <v>111</v>
      </c>
    </row>
    <row r="59" spans="1:11">
      <c r="A59" s="4" t="s">
        <v>345</v>
      </c>
      <c r="B59" s="4" t="s">
        <v>117</v>
      </c>
      <c r="C59" s="4" t="s">
        <v>346</v>
      </c>
      <c r="D59" s="4" t="s">
        <v>347</v>
      </c>
      <c r="E59" s="4" t="s">
        <v>120</v>
      </c>
      <c r="F59" s="4" t="s">
        <v>348</v>
      </c>
      <c r="G59" s="4" t="s">
        <v>349</v>
      </c>
      <c r="H59" s="4" t="s">
        <v>116</v>
      </c>
      <c r="I59" s="4" t="s">
        <v>350</v>
      </c>
      <c r="J59" s="4">
        <v>1.5</v>
      </c>
      <c r="K59" s="4" t="s">
        <v>111</v>
      </c>
    </row>
    <row r="60" spans="1:11">
      <c r="A60" s="4" t="s">
        <v>351</v>
      </c>
      <c r="B60" s="4" t="s">
        <v>352</v>
      </c>
      <c r="C60" s="4" t="s">
        <v>353</v>
      </c>
      <c r="D60" s="4" t="s">
        <v>354</v>
      </c>
      <c r="E60" s="4" t="s">
        <v>120</v>
      </c>
      <c r="F60" s="4" t="s">
        <v>265</v>
      </c>
      <c r="G60" s="4" t="s">
        <v>349</v>
      </c>
      <c r="H60" s="4" t="s">
        <v>355</v>
      </c>
      <c r="I60" s="4" t="s">
        <v>356</v>
      </c>
      <c r="J60" s="4">
        <v>1.5</v>
      </c>
      <c r="K60" s="4" t="s">
        <v>111</v>
      </c>
    </row>
    <row r="61" spans="1:11">
      <c r="A61" s="4" t="s">
        <v>357</v>
      </c>
      <c r="B61" s="4" t="s">
        <v>128</v>
      </c>
      <c r="C61" s="4" t="s">
        <v>358</v>
      </c>
      <c r="D61" s="4" t="s">
        <v>359</v>
      </c>
      <c r="E61" s="4" t="s">
        <v>120</v>
      </c>
      <c r="F61" s="4" t="s">
        <v>82</v>
      </c>
      <c r="G61" s="4" t="s">
        <v>349</v>
      </c>
      <c r="H61" s="4" t="s">
        <v>360</v>
      </c>
      <c r="I61" s="4" t="s">
        <v>361</v>
      </c>
      <c r="J61" s="4">
        <v>2</v>
      </c>
      <c r="K61" s="4" t="s">
        <v>111</v>
      </c>
    </row>
    <row r="62" spans="1:11">
      <c r="A62" s="4" t="s">
        <v>362</v>
      </c>
      <c r="B62" s="4" t="s">
        <v>363</v>
      </c>
      <c r="C62" s="4" t="s">
        <v>364</v>
      </c>
      <c r="D62" s="4" t="s">
        <v>365</v>
      </c>
      <c r="E62" s="4" t="s">
        <v>81</v>
      </c>
      <c r="F62" s="4" t="s">
        <v>82</v>
      </c>
      <c r="G62" s="4" t="s">
        <v>349</v>
      </c>
      <c r="H62" s="4" t="s">
        <v>366</v>
      </c>
      <c r="I62" s="4" t="s">
        <v>367</v>
      </c>
      <c r="J62" s="4">
        <v>2</v>
      </c>
      <c r="K62" s="4" t="s">
        <v>111</v>
      </c>
    </row>
    <row r="63" spans="1:11">
      <c r="A63" s="4" t="s">
        <v>368</v>
      </c>
      <c r="B63" s="4" t="s">
        <v>123</v>
      </c>
      <c r="C63" s="4" t="s">
        <v>369</v>
      </c>
      <c r="D63" s="4" t="s">
        <v>370</v>
      </c>
      <c r="E63" s="4" t="s">
        <v>81</v>
      </c>
      <c r="F63" s="4" t="s">
        <v>82</v>
      </c>
      <c r="G63" s="4" t="s">
        <v>23</v>
      </c>
      <c r="H63" s="4" t="s">
        <v>122</v>
      </c>
      <c r="I63" s="4" t="s">
        <v>371</v>
      </c>
      <c r="J63" s="4">
        <v>1.5</v>
      </c>
      <c r="K63" s="4" t="s">
        <v>111</v>
      </c>
    </row>
    <row r="64" spans="1:11">
      <c r="A64" s="4" t="s">
        <v>372</v>
      </c>
      <c r="B64" s="4" t="s">
        <v>123</v>
      </c>
      <c r="C64" s="4" t="s">
        <v>373</v>
      </c>
      <c r="D64" s="4" t="s">
        <v>374</v>
      </c>
      <c r="E64" s="4" t="s">
        <v>81</v>
      </c>
      <c r="F64" s="4" t="s">
        <v>82</v>
      </c>
      <c r="G64" s="4" t="s">
        <v>23</v>
      </c>
      <c r="H64" s="4" t="s">
        <v>368</v>
      </c>
      <c r="I64" s="4" t="s">
        <v>375</v>
      </c>
      <c r="J64" s="4">
        <v>1.5</v>
      </c>
      <c r="K64" s="4" t="s">
        <v>111</v>
      </c>
    </row>
    <row r="65" spans="1:11">
      <c r="A65" s="4" t="s">
        <v>376</v>
      </c>
      <c r="B65" s="4" t="s">
        <v>123</v>
      </c>
      <c r="C65" s="4" t="s">
        <v>377</v>
      </c>
      <c r="D65" s="4" t="s">
        <v>378</v>
      </c>
      <c r="E65" s="4" t="s">
        <v>81</v>
      </c>
      <c r="F65" s="4" t="s">
        <v>82</v>
      </c>
      <c r="G65" s="4" t="s">
        <v>23</v>
      </c>
      <c r="H65" s="4" t="s">
        <v>372</v>
      </c>
      <c r="I65" s="4" t="s">
        <v>379</v>
      </c>
      <c r="J65" s="4">
        <v>2</v>
      </c>
      <c r="K65" s="4" t="s">
        <v>111</v>
      </c>
    </row>
    <row r="66" spans="1:11">
      <c r="A66" s="4" t="s">
        <v>380</v>
      </c>
      <c r="B66" s="4" t="s">
        <v>128</v>
      </c>
      <c r="C66" s="4" t="s">
        <v>381</v>
      </c>
      <c r="D66" s="4" t="s">
        <v>382</v>
      </c>
      <c r="E66" s="4" t="s">
        <v>120</v>
      </c>
      <c r="F66" s="4" t="s">
        <v>82</v>
      </c>
      <c r="G66" s="4" t="s">
        <v>23</v>
      </c>
      <c r="H66" s="4" t="s">
        <v>357</v>
      </c>
      <c r="I66" s="4" t="s">
        <v>383</v>
      </c>
      <c r="J66" s="4">
        <v>1.5</v>
      </c>
      <c r="K66" s="4" t="s">
        <v>111</v>
      </c>
    </row>
    <row r="67" spans="1:11">
      <c r="A67" s="4" t="s">
        <v>384</v>
      </c>
      <c r="B67" s="4" t="s">
        <v>128</v>
      </c>
      <c r="C67" s="4" t="s">
        <v>385</v>
      </c>
      <c r="D67" s="4" t="s">
        <v>386</v>
      </c>
      <c r="E67" s="4" t="s">
        <v>120</v>
      </c>
      <c r="F67" s="4" t="s">
        <v>82</v>
      </c>
      <c r="G67" s="4" t="s">
        <v>23</v>
      </c>
      <c r="H67" s="4" t="s">
        <v>387</v>
      </c>
      <c r="I67" s="4" t="s">
        <v>388</v>
      </c>
      <c r="J67" s="4">
        <v>2</v>
      </c>
      <c r="K67" s="4" t="s">
        <v>111</v>
      </c>
    </row>
    <row r="68" spans="1:11">
      <c r="A68" s="4" t="s">
        <v>389</v>
      </c>
      <c r="B68" s="4" t="s">
        <v>128</v>
      </c>
      <c r="C68" s="4" t="s">
        <v>390</v>
      </c>
      <c r="D68" s="4" t="s">
        <v>391</v>
      </c>
      <c r="E68" s="4" t="s">
        <v>120</v>
      </c>
      <c r="F68" s="4" t="s">
        <v>82</v>
      </c>
      <c r="G68" s="4" t="s">
        <v>23</v>
      </c>
      <c r="H68" s="4" t="s">
        <v>142</v>
      </c>
      <c r="I68" s="4" t="s">
        <v>392</v>
      </c>
      <c r="J68" s="4">
        <v>1</v>
      </c>
      <c r="K68" s="4" t="s">
        <v>111</v>
      </c>
    </row>
    <row r="69" spans="1:11">
      <c r="A69" s="4" t="s">
        <v>393</v>
      </c>
      <c r="B69" s="4" t="s">
        <v>363</v>
      </c>
      <c r="C69" s="4" t="s">
        <v>394</v>
      </c>
      <c r="D69" s="4" t="s">
        <v>395</v>
      </c>
      <c r="E69" s="4" t="s">
        <v>81</v>
      </c>
      <c r="F69" s="4" t="s">
        <v>82</v>
      </c>
      <c r="G69" s="4" t="s">
        <v>23</v>
      </c>
      <c r="H69" s="4" t="s">
        <v>396</v>
      </c>
      <c r="I69" s="4" t="s">
        <v>397</v>
      </c>
      <c r="J69" s="4">
        <v>2</v>
      </c>
      <c r="K69" s="4" t="s">
        <v>111</v>
      </c>
    </row>
    <row r="70" spans="1:11">
      <c r="A70" s="4" t="s">
        <v>398</v>
      </c>
      <c r="B70" s="4" t="s">
        <v>363</v>
      </c>
      <c r="C70" s="4" t="s">
        <v>399</v>
      </c>
      <c r="D70" s="4" t="s">
        <v>400</v>
      </c>
      <c r="E70" s="4" t="s">
        <v>81</v>
      </c>
      <c r="F70" s="4" t="s">
        <v>82</v>
      </c>
      <c r="G70" s="4" t="s">
        <v>23</v>
      </c>
      <c r="H70" s="4" t="s">
        <v>401</v>
      </c>
      <c r="I70" s="4" t="s">
        <v>402</v>
      </c>
      <c r="J70" s="4">
        <v>1.5</v>
      </c>
      <c r="K70" s="4" t="s">
        <v>111</v>
      </c>
    </row>
    <row r="71" spans="1:11">
      <c r="A71" s="4" t="s">
        <v>403</v>
      </c>
      <c r="B71" s="4" t="s">
        <v>404</v>
      </c>
      <c r="C71" s="4" t="s">
        <v>405</v>
      </c>
      <c r="D71" s="4" t="s">
        <v>406</v>
      </c>
      <c r="E71" s="4" t="s">
        <v>81</v>
      </c>
      <c r="F71" s="4" t="s">
        <v>82</v>
      </c>
      <c r="G71" s="4" t="s">
        <v>407</v>
      </c>
      <c r="H71" s="4" t="s">
        <v>85</v>
      </c>
      <c r="I71" s="4" t="s">
        <v>408</v>
      </c>
      <c r="J71" s="4">
        <v>1.5</v>
      </c>
      <c r="K71" s="4" t="s">
        <v>111</v>
      </c>
    </row>
    <row r="72" spans="1:11">
      <c r="A72" s="4" t="s">
        <v>409</v>
      </c>
      <c r="B72" s="4" t="s">
        <v>404</v>
      </c>
      <c r="C72" s="4" t="s">
        <v>410</v>
      </c>
      <c r="D72" s="4" t="s">
        <v>411</v>
      </c>
      <c r="E72" s="4" t="s">
        <v>120</v>
      </c>
      <c r="F72" s="4" t="s">
        <v>82</v>
      </c>
      <c r="G72" s="4" t="s">
        <v>407</v>
      </c>
      <c r="H72" s="4" t="s">
        <v>127</v>
      </c>
      <c r="I72" s="4" t="s">
        <v>412</v>
      </c>
      <c r="J72" s="4">
        <v>1.5</v>
      </c>
      <c r="K72" s="4" t="s">
        <v>111</v>
      </c>
    </row>
    <row r="73" spans="1:11">
      <c r="A73" s="4" t="s">
        <v>413</v>
      </c>
      <c r="B73" s="4" t="s">
        <v>414</v>
      </c>
      <c r="C73" s="4" t="s">
        <v>415</v>
      </c>
      <c r="D73" s="4" t="s">
        <v>416</v>
      </c>
      <c r="E73" s="4" t="s">
        <v>81</v>
      </c>
      <c r="F73" s="4" t="s">
        <v>265</v>
      </c>
      <c r="G73" s="4" t="s">
        <v>407</v>
      </c>
      <c r="H73" s="4" t="s">
        <v>393</v>
      </c>
      <c r="I73" s="4" t="s">
        <v>417</v>
      </c>
      <c r="J73" s="4">
        <v>2</v>
      </c>
      <c r="K73" s="4" t="s">
        <v>111</v>
      </c>
    </row>
    <row r="74" spans="1:11">
      <c r="A74" s="4" t="s">
        <v>418</v>
      </c>
      <c r="B74" s="4" t="s">
        <v>128</v>
      </c>
      <c r="C74" s="4" t="s">
        <v>419</v>
      </c>
      <c r="D74" s="4" t="s">
        <v>420</v>
      </c>
      <c r="E74" s="4" t="s">
        <v>120</v>
      </c>
      <c r="F74" s="4" t="s">
        <v>82</v>
      </c>
      <c r="G74" s="4" t="s">
        <v>28</v>
      </c>
      <c r="H74" s="4" t="s">
        <v>232</v>
      </c>
      <c r="I74" s="4" t="s">
        <v>421</v>
      </c>
      <c r="J74" s="4">
        <v>1.5</v>
      </c>
      <c r="K74" s="4" t="s">
        <v>111</v>
      </c>
    </row>
    <row r="75" spans="1:11">
      <c r="A75" s="4" t="s">
        <v>422</v>
      </c>
      <c r="B75" s="4" t="s">
        <v>128</v>
      </c>
      <c r="C75" s="4" t="s">
        <v>423</v>
      </c>
      <c r="D75" s="4" t="s">
        <v>424</v>
      </c>
      <c r="E75" s="4" t="s">
        <v>120</v>
      </c>
      <c r="F75" s="4" t="s">
        <v>82</v>
      </c>
      <c r="G75" s="4" t="s">
        <v>28</v>
      </c>
      <c r="H75" s="4" t="s">
        <v>425</v>
      </c>
      <c r="I75" s="4" t="s">
        <v>426</v>
      </c>
      <c r="J75" s="4">
        <v>2</v>
      </c>
      <c r="K75" s="4" t="s">
        <v>111</v>
      </c>
    </row>
    <row r="76" spans="1:11">
      <c r="A76" s="4" t="s">
        <v>427</v>
      </c>
      <c r="B76" s="4" t="s">
        <v>404</v>
      </c>
      <c r="C76" s="4" t="s">
        <v>428</v>
      </c>
      <c r="D76" s="4" t="s">
        <v>429</v>
      </c>
      <c r="E76" s="4" t="s">
        <v>81</v>
      </c>
      <c r="F76" s="4" t="s">
        <v>82</v>
      </c>
      <c r="G76" s="4" t="s">
        <v>28</v>
      </c>
      <c r="H76" s="4" t="s">
        <v>430</v>
      </c>
      <c r="I76" s="4" t="s">
        <v>431</v>
      </c>
      <c r="J76" s="4">
        <v>2</v>
      </c>
      <c r="K76" s="4" t="s">
        <v>111</v>
      </c>
    </row>
    <row r="77" ht="28.5" spans="1:11">
      <c r="A77" s="4" t="s">
        <v>432</v>
      </c>
      <c r="B77" s="4" t="s">
        <v>414</v>
      </c>
      <c r="C77" s="4" t="s">
        <v>433</v>
      </c>
      <c r="D77" s="4" t="s">
        <v>434</v>
      </c>
      <c r="E77" s="4" t="s">
        <v>81</v>
      </c>
      <c r="F77" s="4" t="s">
        <v>82</v>
      </c>
      <c r="G77" s="4" t="s">
        <v>28</v>
      </c>
      <c r="H77" s="4" t="s">
        <v>435</v>
      </c>
      <c r="I77" s="4" t="s">
        <v>436</v>
      </c>
      <c r="J77" s="4">
        <v>3</v>
      </c>
      <c r="K77" s="4" t="s">
        <v>111</v>
      </c>
    </row>
    <row r="78" spans="1:11">
      <c r="A78" s="4" t="s">
        <v>437</v>
      </c>
      <c r="B78" s="4" t="s">
        <v>414</v>
      </c>
      <c r="C78" s="4" t="s">
        <v>438</v>
      </c>
      <c r="D78" s="4" t="s">
        <v>439</v>
      </c>
      <c r="E78" s="4" t="s">
        <v>81</v>
      </c>
      <c r="F78" s="4" t="s">
        <v>82</v>
      </c>
      <c r="G78" s="4" t="s">
        <v>440</v>
      </c>
      <c r="H78" s="4" t="s">
        <v>432</v>
      </c>
      <c r="I78" s="4" t="s">
        <v>441</v>
      </c>
      <c r="J78" s="4">
        <v>3</v>
      </c>
      <c r="K78" s="4" t="s">
        <v>111</v>
      </c>
    </row>
    <row r="79" spans="1:11">
      <c r="A79" s="4" t="s">
        <v>442</v>
      </c>
      <c r="B79" s="4" t="s">
        <v>443</v>
      </c>
      <c r="C79" s="4" t="s">
        <v>444</v>
      </c>
      <c r="D79" s="4" t="s">
        <v>445</v>
      </c>
      <c r="E79" s="4" t="s">
        <v>81</v>
      </c>
      <c r="F79" s="4" t="s">
        <v>82</v>
      </c>
      <c r="G79" s="4" t="s">
        <v>446</v>
      </c>
      <c r="H79" s="4" t="s">
        <v>432</v>
      </c>
      <c r="I79" s="4" t="s">
        <v>447</v>
      </c>
      <c r="J79" s="4">
        <v>0.5</v>
      </c>
      <c r="K79" s="4" t="s">
        <v>111</v>
      </c>
    </row>
    <row r="80" spans="1:11">
      <c r="A80" s="4" t="s">
        <v>448</v>
      </c>
      <c r="B80" s="4" t="s">
        <v>443</v>
      </c>
      <c r="C80" s="4" t="s">
        <v>449</v>
      </c>
      <c r="D80" s="4" t="s">
        <v>450</v>
      </c>
      <c r="E80" s="4" t="s">
        <v>120</v>
      </c>
      <c r="F80" s="4" t="s">
        <v>82</v>
      </c>
      <c r="G80" s="4" t="s">
        <v>33</v>
      </c>
      <c r="H80" s="4" t="s">
        <v>451</v>
      </c>
      <c r="I80" s="4" t="s">
        <v>452</v>
      </c>
      <c r="J80" s="4">
        <v>1</v>
      </c>
      <c r="K80" s="4" t="s">
        <v>111</v>
      </c>
    </row>
    <row r="81" spans="1:11">
      <c r="A81" s="4" t="s">
        <v>453</v>
      </c>
      <c r="B81" s="4" t="s">
        <v>443</v>
      </c>
      <c r="C81" s="4" t="s">
        <v>454</v>
      </c>
      <c r="D81" s="4" t="s">
        <v>455</v>
      </c>
      <c r="E81" s="4" t="s">
        <v>120</v>
      </c>
      <c r="F81" s="4" t="s">
        <v>82</v>
      </c>
      <c r="G81" s="4" t="s">
        <v>33</v>
      </c>
      <c r="H81" s="4" t="s">
        <v>448</v>
      </c>
      <c r="I81" s="4" t="s">
        <v>456</v>
      </c>
      <c r="J81" s="4">
        <v>1.5</v>
      </c>
      <c r="K81" s="4" t="s">
        <v>111</v>
      </c>
    </row>
    <row r="82" spans="1:11">
      <c r="A82" s="4" t="s">
        <v>457</v>
      </c>
      <c r="B82" s="4" t="s">
        <v>443</v>
      </c>
      <c r="C82" s="4" t="s">
        <v>458</v>
      </c>
      <c r="D82" s="4" t="s">
        <v>459</v>
      </c>
      <c r="E82" s="4" t="s">
        <v>120</v>
      </c>
      <c r="F82" s="4" t="s">
        <v>82</v>
      </c>
      <c r="G82" s="4" t="s">
        <v>33</v>
      </c>
      <c r="H82" s="4" t="s">
        <v>453</v>
      </c>
      <c r="I82" s="4" t="s">
        <v>460</v>
      </c>
      <c r="J82" s="4">
        <v>1</v>
      </c>
      <c r="K82" s="4" t="s">
        <v>111</v>
      </c>
    </row>
    <row r="83" spans="1:11">
      <c r="A83" s="4" t="s">
        <v>461</v>
      </c>
      <c r="B83" s="4" t="s">
        <v>443</v>
      </c>
      <c r="C83" s="4" t="s">
        <v>462</v>
      </c>
      <c r="D83" s="4" t="s">
        <v>463</v>
      </c>
      <c r="E83" s="4" t="s">
        <v>81</v>
      </c>
      <c r="F83" s="4" t="s">
        <v>82</v>
      </c>
      <c r="G83" s="4" t="s">
        <v>33</v>
      </c>
      <c r="H83" s="4" t="s">
        <v>464</v>
      </c>
      <c r="I83" s="4" t="s">
        <v>465</v>
      </c>
      <c r="J83" s="4">
        <v>2</v>
      </c>
      <c r="K83" s="4" t="s">
        <v>111</v>
      </c>
    </row>
    <row r="84" spans="1:11">
      <c r="A84" s="4" t="s">
        <v>466</v>
      </c>
      <c r="B84" s="4" t="s">
        <v>443</v>
      </c>
      <c r="C84" s="4" t="s">
        <v>467</v>
      </c>
      <c r="D84" s="4" t="s">
        <v>468</v>
      </c>
      <c r="E84" s="4" t="s">
        <v>81</v>
      </c>
      <c r="F84" s="4" t="s">
        <v>82</v>
      </c>
      <c r="G84" s="4" t="s">
        <v>33</v>
      </c>
      <c r="H84" s="4" t="s">
        <v>469</v>
      </c>
      <c r="I84" s="4" t="s">
        <v>470</v>
      </c>
      <c r="J84" s="4">
        <v>1.5</v>
      </c>
      <c r="K84" s="4" t="s">
        <v>111</v>
      </c>
    </row>
    <row r="85" spans="1:11">
      <c r="A85" s="4" t="s">
        <v>471</v>
      </c>
      <c r="B85" s="4" t="s">
        <v>443</v>
      </c>
      <c r="C85" s="4" t="s">
        <v>472</v>
      </c>
      <c r="D85" s="4" t="s">
        <v>473</v>
      </c>
      <c r="E85" s="4" t="s">
        <v>120</v>
      </c>
      <c r="F85" s="4" t="s">
        <v>82</v>
      </c>
      <c r="G85" s="4" t="s">
        <v>474</v>
      </c>
      <c r="H85" s="4" t="s">
        <v>464</v>
      </c>
      <c r="I85" s="4" t="s">
        <v>475</v>
      </c>
      <c r="J85" s="4">
        <v>1</v>
      </c>
      <c r="K85" s="4" t="s">
        <v>111</v>
      </c>
    </row>
  </sheetData>
  <mergeCells count="1">
    <mergeCell ref="A1:K1"/>
  </mergeCells>
  <conditionalFormatting sqref="F3:F85">
    <cfRule type="expression" dxfId="0" priority="1">
      <formula>F3="P0"</formula>
    </cfRule>
    <cfRule type="expression" dxfId="1" priority="2">
      <formula>F3="P1"</formula>
    </cfRule>
  </conditionalFormatting>
  <conditionalFormatting sqref="K3:K85">
    <cfRule type="expression" dxfId="2" priority="3">
      <formula>K3="已完成"</formula>
    </cfRule>
    <cfRule type="expression" dxfId="3" priority="4">
      <formula>K3="阻塞"</formula>
    </cfRule>
  </conditionalFormatting>
  <dataValidations count="3">
    <dataValidation type="list" sqref="E3:E85">
      <formula1>"你,协作者,AI负责人"</formula1>
    </dataValidation>
    <dataValidation type="list" sqref="F3:F85">
      <formula1>"P0,P1,P2"</formula1>
    </dataValidation>
    <dataValidation type="list" sqref="K3:K85">
      <formula1>"未开始,进行中,阻塞,已完成,延期"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D29" sqref="D29"/>
    </sheetView>
  </sheetViews>
  <sheetFormatPr defaultColWidth="23.25" defaultRowHeight="14.25" outlineLevelRow="7" outlineLevelCol="5"/>
  <cols>
    <col min="1" max="1" width="4.625" style="5" customWidth="1"/>
    <col min="2" max="2" width="8.375" style="5" customWidth="1"/>
    <col min="3" max="3" width="23.25" style="5" customWidth="1"/>
    <col min="4" max="6" width="23.125" style="5" customWidth="1"/>
    <col min="7" max="16384" width="23.25" style="5" customWidth="1"/>
  </cols>
  <sheetData>
    <row r="1" ht="20.25" spans="1:6">
      <c r="A1" s="2" t="s">
        <v>476</v>
      </c>
      <c r="B1" s="2"/>
      <c r="C1" s="2"/>
      <c r="D1" s="2"/>
      <c r="E1" s="2"/>
      <c r="F1" s="2"/>
    </row>
    <row r="2" ht="15" spans="1:6">
      <c r="A2" s="3" t="s">
        <v>3</v>
      </c>
      <c r="B2" s="3" t="s">
        <v>4</v>
      </c>
      <c r="C2" s="3" t="s">
        <v>477</v>
      </c>
      <c r="D2" s="3" t="s">
        <v>478</v>
      </c>
      <c r="E2" s="3" t="s">
        <v>479</v>
      </c>
      <c r="F2" s="3" t="s">
        <v>480</v>
      </c>
    </row>
    <row r="3" ht="57" spans="1:6">
      <c r="A3" s="6" t="s">
        <v>8</v>
      </c>
      <c r="B3" s="6" t="s">
        <v>9</v>
      </c>
      <c r="C3" s="6" t="s">
        <v>10</v>
      </c>
      <c r="D3" s="6" t="s">
        <v>481</v>
      </c>
      <c r="E3" s="6" t="s">
        <v>482</v>
      </c>
      <c r="F3" s="6" t="s">
        <v>11</v>
      </c>
    </row>
    <row r="4" ht="42.75" spans="1:6">
      <c r="A4" s="6" t="s">
        <v>13</v>
      </c>
      <c r="B4" s="6" t="s">
        <v>14</v>
      </c>
      <c r="C4" s="6" t="s">
        <v>15</v>
      </c>
      <c r="D4" s="6" t="s">
        <v>483</v>
      </c>
      <c r="E4" s="6" t="s">
        <v>484</v>
      </c>
      <c r="F4" s="6" t="s">
        <v>16</v>
      </c>
    </row>
    <row r="5" ht="42" spans="1:6">
      <c r="A5" s="6" t="s">
        <v>18</v>
      </c>
      <c r="B5" s="6" t="s">
        <v>19</v>
      </c>
      <c r="C5" s="6" t="s">
        <v>20</v>
      </c>
      <c r="D5" s="6" t="s">
        <v>485</v>
      </c>
      <c r="E5" s="6" t="s">
        <v>486</v>
      </c>
      <c r="F5" s="6" t="s">
        <v>21</v>
      </c>
    </row>
    <row r="6" ht="42" spans="1:6">
      <c r="A6" s="6" t="s">
        <v>23</v>
      </c>
      <c r="B6" s="6" t="s">
        <v>24</v>
      </c>
      <c r="C6" s="6" t="s">
        <v>25</v>
      </c>
      <c r="D6" s="6" t="s">
        <v>487</v>
      </c>
      <c r="E6" s="6" t="s">
        <v>488</v>
      </c>
      <c r="F6" s="6" t="s">
        <v>26</v>
      </c>
    </row>
    <row r="7" ht="28.5" spans="1:6">
      <c r="A7" s="6" t="s">
        <v>28</v>
      </c>
      <c r="B7" s="6" t="s">
        <v>29</v>
      </c>
      <c r="C7" s="6" t="s">
        <v>30</v>
      </c>
      <c r="D7" s="6" t="s">
        <v>489</v>
      </c>
      <c r="E7" s="6" t="s">
        <v>490</v>
      </c>
      <c r="F7" s="6" t="s">
        <v>31</v>
      </c>
    </row>
    <row r="8" ht="42.75" spans="1:6">
      <c r="A8" s="6" t="s">
        <v>33</v>
      </c>
      <c r="B8" s="6" t="s">
        <v>34</v>
      </c>
      <c r="C8" s="6" t="s">
        <v>35</v>
      </c>
      <c r="D8" s="6" t="s">
        <v>491</v>
      </c>
      <c r="E8" s="6" t="s">
        <v>492</v>
      </c>
      <c r="F8" s="6" t="s">
        <v>36</v>
      </c>
    </row>
  </sheetData>
  <mergeCells count="1">
    <mergeCell ref="A1:F1"/>
  </mergeCell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J37" sqref="J37"/>
    </sheetView>
  </sheetViews>
  <sheetFormatPr defaultColWidth="9" defaultRowHeight="14.25" outlineLevelCol="5"/>
  <cols>
    <col min="1" max="1" width="12.125" style="1" customWidth="1"/>
    <col min="2" max="2" width="16.625" style="1" customWidth="1"/>
    <col min="3" max="3" width="36.875" style="1" customWidth="1"/>
    <col min="4" max="4" width="21.375" style="1" customWidth="1"/>
    <col min="5" max="6" width="6.625" style="1" customWidth="1"/>
    <col min="7" max="16384" width="9" style="1"/>
  </cols>
  <sheetData>
    <row r="1" ht="20.25" spans="1:6">
      <c r="A1" s="2" t="s">
        <v>493</v>
      </c>
      <c r="B1" s="2"/>
      <c r="C1" s="2"/>
      <c r="D1" s="2"/>
      <c r="E1" s="2"/>
      <c r="F1" s="2"/>
    </row>
    <row r="2" ht="15" spans="1:6">
      <c r="A2" s="3" t="s">
        <v>494</v>
      </c>
      <c r="B2" s="3" t="s">
        <v>495</v>
      </c>
      <c r="C2" s="3" t="s">
        <v>496</v>
      </c>
      <c r="D2" s="3" t="s">
        <v>497</v>
      </c>
      <c r="E2" s="3" t="s">
        <v>71</v>
      </c>
      <c r="F2" s="3" t="s">
        <v>72</v>
      </c>
    </row>
    <row r="3" spans="1:6">
      <c r="A3" s="4" t="s">
        <v>498</v>
      </c>
      <c r="B3" s="4" t="s">
        <v>499</v>
      </c>
      <c r="C3" s="4" t="s">
        <v>500</v>
      </c>
      <c r="D3" s="4" t="s">
        <v>501</v>
      </c>
      <c r="E3" s="4" t="s">
        <v>82</v>
      </c>
      <c r="F3" s="4" t="s">
        <v>135</v>
      </c>
    </row>
    <row r="4" spans="1:6">
      <c r="A4" s="4" t="s">
        <v>498</v>
      </c>
      <c r="B4" s="4" t="s">
        <v>502</v>
      </c>
      <c r="C4" s="4" t="s">
        <v>500</v>
      </c>
      <c r="D4" s="4" t="s">
        <v>503</v>
      </c>
      <c r="E4" s="4" t="s">
        <v>82</v>
      </c>
      <c r="F4" s="4" t="s">
        <v>240</v>
      </c>
    </row>
    <row r="5" spans="1:6">
      <c r="A5" s="4" t="s">
        <v>504</v>
      </c>
      <c r="B5" s="4" t="s">
        <v>505</v>
      </c>
      <c r="C5" s="4" t="s">
        <v>506</v>
      </c>
      <c r="D5" s="4" t="s">
        <v>507</v>
      </c>
      <c r="E5" s="4" t="s">
        <v>82</v>
      </c>
      <c r="F5" s="4" t="s">
        <v>18</v>
      </c>
    </row>
    <row r="6" spans="1:6">
      <c r="A6" s="4" t="s">
        <v>504</v>
      </c>
      <c r="B6" s="4" t="s">
        <v>508</v>
      </c>
      <c r="C6" s="4" t="s">
        <v>506</v>
      </c>
      <c r="D6" s="4" t="s">
        <v>509</v>
      </c>
      <c r="E6" s="4" t="s">
        <v>265</v>
      </c>
      <c r="F6" s="4" t="s">
        <v>18</v>
      </c>
    </row>
    <row r="7" spans="1:6">
      <c r="A7" s="4" t="s">
        <v>510</v>
      </c>
      <c r="B7" s="4" t="s">
        <v>505</v>
      </c>
      <c r="C7" s="4" t="s">
        <v>511</v>
      </c>
      <c r="D7" s="4" t="s">
        <v>209</v>
      </c>
      <c r="E7" s="4" t="s">
        <v>82</v>
      </c>
      <c r="F7" s="4" t="s">
        <v>13</v>
      </c>
    </row>
    <row r="8" spans="1:6">
      <c r="A8" s="4" t="s">
        <v>510</v>
      </c>
      <c r="B8" s="4" t="s">
        <v>505</v>
      </c>
      <c r="C8" s="4" t="s">
        <v>512</v>
      </c>
      <c r="D8" s="4" t="s">
        <v>513</v>
      </c>
      <c r="E8" s="4" t="s">
        <v>82</v>
      </c>
      <c r="F8" s="4" t="s">
        <v>13</v>
      </c>
    </row>
    <row r="9" spans="1:6">
      <c r="A9" s="4" t="s">
        <v>510</v>
      </c>
      <c r="B9" s="4" t="s">
        <v>499</v>
      </c>
      <c r="C9" s="4" t="s">
        <v>511</v>
      </c>
      <c r="D9" s="4" t="s">
        <v>514</v>
      </c>
      <c r="E9" s="4" t="s">
        <v>82</v>
      </c>
      <c r="F9" s="4" t="s">
        <v>240</v>
      </c>
    </row>
    <row r="10" spans="1:6">
      <c r="A10" s="4" t="s">
        <v>510</v>
      </c>
      <c r="B10" s="4" t="s">
        <v>508</v>
      </c>
      <c r="C10" s="4" t="s">
        <v>512</v>
      </c>
      <c r="D10" s="4" t="s">
        <v>515</v>
      </c>
      <c r="E10" s="4" t="s">
        <v>265</v>
      </c>
      <c r="F10" s="4" t="s">
        <v>18</v>
      </c>
    </row>
    <row r="11" spans="1:6">
      <c r="A11" s="4" t="s">
        <v>510</v>
      </c>
      <c r="B11" s="4" t="s">
        <v>505</v>
      </c>
      <c r="C11" s="4" t="s">
        <v>516</v>
      </c>
      <c r="D11" s="4" t="s">
        <v>292</v>
      </c>
      <c r="E11" s="4" t="s">
        <v>265</v>
      </c>
      <c r="F11" s="4" t="s">
        <v>18</v>
      </c>
    </row>
    <row r="12" spans="1:6">
      <c r="A12" s="4" t="s">
        <v>517</v>
      </c>
      <c r="B12" s="4" t="s">
        <v>505</v>
      </c>
      <c r="C12" s="4" t="s">
        <v>518</v>
      </c>
      <c r="D12" s="4" t="s">
        <v>219</v>
      </c>
      <c r="E12" s="4" t="s">
        <v>82</v>
      </c>
      <c r="F12" s="4" t="s">
        <v>13</v>
      </c>
    </row>
    <row r="13" spans="1:6">
      <c r="A13" s="4" t="s">
        <v>517</v>
      </c>
      <c r="B13" s="4" t="s">
        <v>505</v>
      </c>
      <c r="C13" s="4" t="s">
        <v>519</v>
      </c>
      <c r="D13" s="4" t="s">
        <v>520</v>
      </c>
      <c r="E13" s="4" t="s">
        <v>82</v>
      </c>
      <c r="F13" s="4" t="s">
        <v>13</v>
      </c>
    </row>
    <row r="14" spans="1:6">
      <c r="A14" s="4" t="s">
        <v>517</v>
      </c>
      <c r="B14" s="4" t="s">
        <v>499</v>
      </c>
      <c r="C14" s="4" t="s">
        <v>518</v>
      </c>
      <c r="D14" s="4" t="s">
        <v>521</v>
      </c>
      <c r="E14" s="4" t="s">
        <v>82</v>
      </c>
      <c r="F14" s="4" t="s">
        <v>18</v>
      </c>
    </row>
    <row r="15" spans="1:6">
      <c r="A15" s="4" t="s">
        <v>517</v>
      </c>
      <c r="B15" s="4" t="s">
        <v>508</v>
      </c>
      <c r="C15" s="4" t="s">
        <v>519</v>
      </c>
      <c r="D15" s="4" t="s">
        <v>522</v>
      </c>
      <c r="E15" s="4" t="s">
        <v>265</v>
      </c>
      <c r="F15" s="4" t="s">
        <v>18</v>
      </c>
    </row>
    <row r="16" spans="1:6">
      <c r="A16" s="4" t="s">
        <v>517</v>
      </c>
      <c r="B16" s="4" t="s">
        <v>505</v>
      </c>
      <c r="C16" s="4" t="s">
        <v>523</v>
      </c>
      <c r="D16" s="4" t="s">
        <v>297</v>
      </c>
      <c r="E16" s="4" t="s">
        <v>265</v>
      </c>
      <c r="F16" s="4" t="s">
        <v>18</v>
      </c>
    </row>
    <row r="17" spans="1:6">
      <c r="A17" s="4" t="s">
        <v>524</v>
      </c>
      <c r="B17" s="4" t="s">
        <v>505</v>
      </c>
      <c r="C17" s="4" t="s">
        <v>525</v>
      </c>
      <c r="D17" s="4" t="s">
        <v>526</v>
      </c>
      <c r="E17" s="4" t="s">
        <v>82</v>
      </c>
      <c r="F17" s="4" t="s">
        <v>13</v>
      </c>
    </row>
    <row r="18" spans="1:6">
      <c r="A18" s="4" t="s">
        <v>524</v>
      </c>
      <c r="B18" s="4" t="s">
        <v>505</v>
      </c>
      <c r="C18" s="4" t="s">
        <v>527</v>
      </c>
      <c r="D18" s="4" t="s">
        <v>528</v>
      </c>
      <c r="E18" s="4" t="s">
        <v>82</v>
      </c>
      <c r="F18" s="4" t="s">
        <v>13</v>
      </c>
    </row>
    <row r="19" spans="1:6">
      <c r="A19" s="4" t="s">
        <v>529</v>
      </c>
      <c r="B19" s="4" t="s">
        <v>499</v>
      </c>
      <c r="C19" s="4" t="s">
        <v>530</v>
      </c>
      <c r="D19" s="4" t="s">
        <v>531</v>
      </c>
      <c r="E19" s="4" t="s">
        <v>82</v>
      </c>
      <c r="F19" s="4" t="s">
        <v>18</v>
      </c>
    </row>
    <row r="20" spans="1:6">
      <c r="A20" s="4" t="s">
        <v>529</v>
      </c>
      <c r="B20" s="4" t="s">
        <v>505</v>
      </c>
      <c r="C20" s="4" t="s">
        <v>532</v>
      </c>
      <c r="D20" s="4" t="s">
        <v>533</v>
      </c>
      <c r="E20" s="4" t="s">
        <v>265</v>
      </c>
      <c r="F20" s="4" t="s">
        <v>18</v>
      </c>
    </row>
    <row r="21" spans="1:6">
      <c r="A21" s="4" t="s">
        <v>534</v>
      </c>
      <c r="B21" s="4" t="s">
        <v>505</v>
      </c>
      <c r="C21" s="4" t="s">
        <v>535</v>
      </c>
      <c r="D21" s="4" t="s">
        <v>536</v>
      </c>
      <c r="E21" s="4" t="s">
        <v>265</v>
      </c>
      <c r="F21" s="4" t="s">
        <v>18</v>
      </c>
    </row>
    <row r="22" spans="1:6">
      <c r="A22" s="4" t="s">
        <v>534</v>
      </c>
      <c r="B22" s="4" t="s">
        <v>499</v>
      </c>
      <c r="C22" s="4" t="s">
        <v>535</v>
      </c>
      <c r="D22" s="4" t="s">
        <v>537</v>
      </c>
      <c r="E22" s="4" t="s">
        <v>265</v>
      </c>
      <c r="F22" s="4" t="s">
        <v>18</v>
      </c>
    </row>
    <row r="23" spans="1:6">
      <c r="A23" s="4" t="s">
        <v>534</v>
      </c>
      <c r="B23" s="4" t="s">
        <v>502</v>
      </c>
      <c r="C23" s="4" t="s">
        <v>538</v>
      </c>
      <c r="D23" s="4" t="s">
        <v>539</v>
      </c>
      <c r="E23" s="4" t="s">
        <v>265</v>
      </c>
      <c r="F23" s="4" t="s">
        <v>18</v>
      </c>
    </row>
    <row r="24" spans="1:6">
      <c r="A24" s="4" t="s">
        <v>540</v>
      </c>
      <c r="B24" s="4" t="s">
        <v>499</v>
      </c>
      <c r="C24" s="4" t="s">
        <v>541</v>
      </c>
      <c r="D24" s="4" t="s">
        <v>542</v>
      </c>
      <c r="E24" s="4" t="s">
        <v>82</v>
      </c>
      <c r="F24" s="4" t="s">
        <v>23</v>
      </c>
    </row>
    <row r="25" spans="1:6">
      <c r="A25" s="4" t="s">
        <v>540</v>
      </c>
      <c r="B25" s="4" t="s">
        <v>505</v>
      </c>
      <c r="C25" s="4" t="s">
        <v>543</v>
      </c>
      <c r="D25" s="4" t="s">
        <v>544</v>
      </c>
      <c r="E25" s="4" t="s">
        <v>82</v>
      </c>
      <c r="F25" s="4" t="s">
        <v>23</v>
      </c>
    </row>
    <row r="26" spans="1:6">
      <c r="A26" s="4" t="s">
        <v>545</v>
      </c>
      <c r="B26" s="4" t="s">
        <v>499</v>
      </c>
      <c r="C26" s="4" t="s">
        <v>546</v>
      </c>
      <c r="D26" s="4" t="s">
        <v>225</v>
      </c>
      <c r="E26" s="4" t="s">
        <v>82</v>
      </c>
      <c r="F26" s="4" t="s">
        <v>13</v>
      </c>
    </row>
    <row r="27" spans="1:6">
      <c r="A27" s="4" t="s">
        <v>545</v>
      </c>
      <c r="B27" s="4" t="s">
        <v>547</v>
      </c>
      <c r="C27" s="4" t="s">
        <v>548</v>
      </c>
      <c r="D27" s="4" t="s">
        <v>549</v>
      </c>
      <c r="E27" s="4" t="s">
        <v>82</v>
      </c>
      <c r="F27" s="4" t="s">
        <v>240</v>
      </c>
    </row>
    <row r="28" spans="1:6">
      <c r="A28" s="4" t="s">
        <v>545</v>
      </c>
      <c r="B28" s="4" t="s">
        <v>547</v>
      </c>
      <c r="C28" s="4" t="s">
        <v>550</v>
      </c>
      <c r="D28" s="4" t="s">
        <v>551</v>
      </c>
      <c r="E28" s="4" t="s">
        <v>82</v>
      </c>
      <c r="F28" s="4" t="s">
        <v>240</v>
      </c>
    </row>
    <row r="29" spans="1:6">
      <c r="A29" s="4" t="s">
        <v>545</v>
      </c>
      <c r="B29" s="4" t="s">
        <v>547</v>
      </c>
      <c r="C29" s="4" t="s">
        <v>552</v>
      </c>
      <c r="D29" s="4" t="s">
        <v>553</v>
      </c>
      <c r="E29" s="4" t="s">
        <v>82</v>
      </c>
      <c r="F29" s="4" t="s">
        <v>240</v>
      </c>
    </row>
    <row r="30" spans="1:6">
      <c r="A30" s="4" t="s">
        <v>545</v>
      </c>
      <c r="B30" s="4" t="s">
        <v>554</v>
      </c>
      <c r="C30" s="4" t="s">
        <v>555</v>
      </c>
      <c r="D30" s="4" t="s">
        <v>556</v>
      </c>
      <c r="E30" s="4" t="s">
        <v>82</v>
      </c>
      <c r="F30" s="4" t="s">
        <v>18</v>
      </c>
    </row>
    <row r="31" spans="1:6">
      <c r="A31" s="4" t="s">
        <v>545</v>
      </c>
      <c r="B31" s="4" t="s">
        <v>505</v>
      </c>
      <c r="C31" s="4" t="s">
        <v>557</v>
      </c>
      <c r="D31" s="4" t="s">
        <v>558</v>
      </c>
      <c r="E31" s="4" t="s">
        <v>265</v>
      </c>
      <c r="F31" s="4" t="s">
        <v>349</v>
      </c>
    </row>
  </sheetData>
  <mergeCells count="1">
    <mergeCell ref="A1:F1"/>
  </mergeCells>
  <conditionalFormatting sqref="E3:E31">
    <cfRule type="expression" dxfId="0" priority="1">
      <formula>E3="P0"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workbookViewId="0">
      <selection activeCell="G34" sqref="G34"/>
    </sheetView>
  </sheetViews>
  <sheetFormatPr defaultColWidth="9" defaultRowHeight="14.25" outlineLevelCol="5"/>
  <cols>
    <col min="1" max="1" width="7" style="1" customWidth="1"/>
    <col min="2" max="2" width="6.625" style="1" customWidth="1"/>
    <col min="3" max="3" width="46.625" style="1" customWidth="1"/>
    <col min="4" max="4" width="6.625" style="1" customWidth="1"/>
    <col min="5" max="5" width="8.625" style="1" customWidth="1"/>
    <col min="6" max="6" width="6.25" style="1" customWidth="1"/>
    <col min="7" max="16384" width="9" style="1"/>
  </cols>
  <sheetData>
    <row r="1" ht="20.25" spans="1:6">
      <c r="A1" s="2" t="s">
        <v>559</v>
      </c>
      <c r="B1" s="2"/>
      <c r="C1" s="2"/>
      <c r="D1" s="2"/>
      <c r="E1" s="2"/>
      <c r="F1" s="2"/>
    </row>
    <row r="2" spans="1:6">
      <c r="A2" s="3" t="s">
        <v>560</v>
      </c>
      <c r="B2" s="3" t="s">
        <v>71</v>
      </c>
      <c r="C2" s="3" t="s">
        <v>561</v>
      </c>
      <c r="D2" s="3" t="s">
        <v>70</v>
      </c>
      <c r="E2" s="3" t="s">
        <v>562</v>
      </c>
      <c r="F2" s="3" t="s">
        <v>76</v>
      </c>
    </row>
    <row r="3" spans="1:6">
      <c r="A3" s="4" t="s">
        <v>563</v>
      </c>
      <c r="B3" s="4" t="s">
        <v>82</v>
      </c>
      <c r="C3" s="4" t="s">
        <v>564</v>
      </c>
      <c r="D3" s="4" t="s">
        <v>81</v>
      </c>
      <c r="E3" s="4" t="s">
        <v>407</v>
      </c>
      <c r="F3" s="4" t="s">
        <v>111</v>
      </c>
    </row>
    <row r="4" spans="1:6">
      <c r="A4" s="4" t="s">
        <v>563</v>
      </c>
      <c r="B4" s="4" t="s">
        <v>82</v>
      </c>
      <c r="C4" s="4" t="s">
        <v>565</v>
      </c>
      <c r="D4" s="4" t="s">
        <v>81</v>
      </c>
      <c r="E4" s="4" t="s">
        <v>28</v>
      </c>
      <c r="F4" s="4" t="s">
        <v>111</v>
      </c>
    </row>
    <row r="5" spans="1:6">
      <c r="A5" s="4" t="s">
        <v>566</v>
      </c>
      <c r="B5" s="4" t="s">
        <v>82</v>
      </c>
      <c r="C5" s="4" t="s">
        <v>567</v>
      </c>
      <c r="D5" s="4" t="s">
        <v>120</v>
      </c>
      <c r="E5" s="4" t="s">
        <v>568</v>
      </c>
      <c r="F5" s="4" t="s">
        <v>111</v>
      </c>
    </row>
    <row r="6" spans="1:6">
      <c r="A6" s="4" t="s">
        <v>566</v>
      </c>
      <c r="B6" s="4" t="s">
        <v>82</v>
      </c>
      <c r="C6" s="4" t="s">
        <v>569</v>
      </c>
      <c r="D6" s="4" t="s">
        <v>81</v>
      </c>
      <c r="E6" s="4" t="s">
        <v>407</v>
      </c>
      <c r="F6" s="4" t="s">
        <v>111</v>
      </c>
    </row>
    <row r="7" spans="1:6">
      <c r="A7" s="4" t="s">
        <v>570</v>
      </c>
      <c r="B7" s="4" t="s">
        <v>82</v>
      </c>
      <c r="C7" s="4" t="s">
        <v>571</v>
      </c>
      <c r="D7" s="4" t="s">
        <v>120</v>
      </c>
      <c r="E7" s="4" t="s">
        <v>572</v>
      </c>
      <c r="F7" s="4" t="s">
        <v>111</v>
      </c>
    </row>
    <row r="8" spans="1:6">
      <c r="A8" s="4" t="s">
        <v>570</v>
      </c>
      <c r="B8" s="4" t="s">
        <v>82</v>
      </c>
      <c r="C8" s="4" t="s">
        <v>573</v>
      </c>
      <c r="D8" s="4" t="s">
        <v>120</v>
      </c>
      <c r="E8" s="4" t="s">
        <v>33</v>
      </c>
      <c r="F8" s="4" t="s">
        <v>111</v>
      </c>
    </row>
    <row r="9" spans="1:6">
      <c r="A9" s="4" t="s">
        <v>570</v>
      </c>
      <c r="B9" s="4" t="s">
        <v>82</v>
      </c>
      <c r="C9" s="4" t="s">
        <v>574</v>
      </c>
      <c r="D9" s="4" t="s">
        <v>120</v>
      </c>
      <c r="E9" s="4" t="s">
        <v>28</v>
      </c>
      <c r="F9" s="4" t="s">
        <v>111</v>
      </c>
    </row>
    <row r="10" spans="1:6">
      <c r="A10" s="4" t="s">
        <v>575</v>
      </c>
      <c r="B10" s="4" t="s">
        <v>82</v>
      </c>
      <c r="C10" s="4" t="s">
        <v>576</v>
      </c>
      <c r="D10" s="4" t="s">
        <v>120</v>
      </c>
      <c r="E10" s="4" t="s">
        <v>33</v>
      </c>
      <c r="F10" s="4" t="s">
        <v>111</v>
      </c>
    </row>
    <row r="11" spans="1:6">
      <c r="A11" s="4" t="s">
        <v>575</v>
      </c>
      <c r="B11" s="4" t="s">
        <v>82</v>
      </c>
      <c r="C11" s="4" t="s">
        <v>577</v>
      </c>
      <c r="D11" s="4" t="s">
        <v>120</v>
      </c>
      <c r="E11" s="4" t="s">
        <v>568</v>
      </c>
      <c r="F11" s="4" t="s">
        <v>111</v>
      </c>
    </row>
    <row r="12" spans="1:6">
      <c r="A12" s="4" t="s">
        <v>578</v>
      </c>
      <c r="B12" s="4" t="s">
        <v>82</v>
      </c>
      <c r="C12" s="4" t="s">
        <v>579</v>
      </c>
      <c r="D12" s="4" t="s">
        <v>81</v>
      </c>
      <c r="E12" s="4" t="s">
        <v>407</v>
      </c>
      <c r="F12" s="4" t="s">
        <v>111</v>
      </c>
    </row>
    <row r="13" spans="1:6">
      <c r="A13" s="4" t="s">
        <v>578</v>
      </c>
      <c r="B13" s="4" t="s">
        <v>82</v>
      </c>
      <c r="C13" s="4" t="s">
        <v>580</v>
      </c>
      <c r="D13" s="4" t="s">
        <v>81</v>
      </c>
      <c r="E13" s="4" t="s">
        <v>407</v>
      </c>
      <c r="F13" s="4" t="s">
        <v>111</v>
      </c>
    </row>
    <row r="14" spans="1:6">
      <c r="A14" s="4" t="s">
        <v>578</v>
      </c>
      <c r="B14" s="4" t="s">
        <v>82</v>
      </c>
      <c r="C14" s="4" t="s">
        <v>581</v>
      </c>
      <c r="D14" s="4" t="s">
        <v>120</v>
      </c>
      <c r="E14" s="4" t="s">
        <v>407</v>
      </c>
      <c r="F14" s="4" t="s">
        <v>111</v>
      </c>
    </row>
    <row r="15" spans="1:6">
      <c r="A15" s="4" t="s">
        <v>578</v>
      </c>
      <c r="B15" s="4" t="s">
        <v>82</v>
      </c>
      <c r="C15" s="4" t="s">
        <v>582</v>
      </c>
      <c r="D15" s="4" t="s">
        <v>120</v>
      </c>
      <c r="E15" s="4" t="s">
        <v>407</v>
      </c>
      <c r="F15" s="4" t="s">
        <v>111</v>
      </c>
    </row>
    <row r="16" spans="1:6">
      <c r="A16" s="4" t="s">
        <v>578</v>
      </c>
      <c r="B16" s="4" t="s">
        <v>82</v>
      </c>
      <c r="C16" s="4" t="s">
        <v>583</v>
      </c>
      <c r="D16" s="4" t="s">
        <v>81</v>
      </c>
      <c r="E16" s="4" t="s">
        <v>28</v>
      </c>
      <c r="F16" s="4" t="s">
        <v>111</v>
      </c>
    </row>
    <row r="17" spans="1:6">
      <c r="A17" s="4" t="s">
        <v>584</v>
      </c>
      <c r="B17" s="4" t="s">
        <v>82</v>
      </c>
      <c r="C17" s="4" t="s">
        <v>585</v>
      </c>
      <c r="D17" s="4" t="s">
        <v>81</v>
      </c>
      <c r="E17" s="4" t="s">
        <v>586</v>
      </c>
      <c r="F17" s="4" t="s">
        <v>111</v>
      </c>
    </row>
    <row r="18" spans="1:6">
      <c r="A18" s="4" t="s">
        <v>584</v>
      </c>
      <c r="B18" s="4" t="s">
        <v>82</v>
      </c>
      <c r="C18" s="4" t="s">
        <v>587</v>
      </c>
      <c r="D18" s="4" t="s">
        <v>81</v>
      </c>
      <c r="E18" s="4" t="s">
        <v>586</v>
      </c>
      <c r="F18" s="4" t="s">
        <v>111</v>
      </c>
    </row>
    <row r="19" spans="1:6">
      <c r="A19" s="4" t="s">
        <v>584</v>
      </c>
      <c r="B19" s="4" t="s">
        <v>82</v>
      </c>
      <c r="C19" s="4" t="s">
        <v>588</v>
      </c>
      <c r="D19" s="4" t="s">
        <v>81</v>
      </c>
      <c r="E19" s="4" t="s">
        <v>586</v>
      </c>
      <c r="F19" s="4" t="s">
        <v>111</v>
      </c>
    </row>
    <row r="20" spans="1:6">
      <c r="A20" s="4" t="s">
        <v>584</v>
      </c>
      <c r="B20" s="4" t="s">
        <v>82</v>
      </c>
      <c r="C20" s="4" t="s">
        <v>589</v>
      </c>
      <c r="D20" s="4" t="s">
        <v>81</v>
      </c>
      <c r="E20" s="4" t="s">
        <v>590</v>
      </c>
      <c r="F20" s="4" t="s">
        <v>111</v>
      </c>
    </row>
    <row r="21" spans="1:6">
      <c r="A21" s="4" t="s">
        <v>584</v>
      </c>
      <c r="B21" s="4" t="s">
        <v>82</v>
      </c>
      <c r="C21" s="4" t="s">
        <v>591</v>
      </c>
      <c r="D21" s="4" t="s">
        <v>81</v>
      </c>
      <c r="E21" s="4" t="s">
        <v>568</v>
      </c>
      <c r="F21" s="4" t="s">
        <v>111</v>
      </c>
    </row>
    <row r="22" spans="1:6">
      <c r="A22" s="4" t="s">
        <v>592</v>
      </c>
      <c r="B22" s="4" t="s">
        <v>82</v>
      </c>
      <c r="C22" s="4" t="s">
        <v>593</v>
      </c>
      <c r="D22" s="4" t="s">
        <v>120</v>
      </c>
      <c r="E22" s="4" t="s">
        <v>586</v>
      </c>
      <c r="F22" s="4" t="s">
        <v>111</v>
      </c>
    </row>
    <row r="23" spans="1:6">
      <c r="A23" s="4" t="s">
        <v>592</v>
      </c>
      <c r="B23" s="4" t="s">
        <v>82</v>
      </c>
      <c r="C23" s="4" t="s">
        <v>594</v>
      </c>
      <c r="D23" s="4" t="s">
        <v>120</v>
      </c>
      <c r="E23" s="4" t="s">
        <v>586</v>
      </c>
      <c r="F23" s="4" t="s">
        <v>111</v>
      </c>
    </row>
    <row r="24" spans="1:6">
      <c r="A24" s="4" t="s">
        <v>592</v>
      </c>
      <c r="B24" s="4" t="s">
        <v>82</v>
      </c>
      <c r="C24" s="4" t="s">
        <v>595</v>
      </c>
      <c r="D24" s="4" t="s">
        <v>120</v>
      </c>
      <c r="E24" s="4" t="s">
        <v>590</v>
      </c>
      <c r="F24" s="4" t="s">
        <v>111</v>
      </c>
    </row>
    <row r="25" spans="1:6">
      <c r="A25" s="4" t="s">
        <v>592</v>
      </c>
      <c r="B25" s="4" t="s">
        <v>82</v>
      </c>
      <c r="C25" s="4" t="s">
        <v>596</v>
      </c>
      <c r="D25" s="4" t="s">
        <v>120</v>
      </c>
      <c r="E25" s="4" t="s">
        <v>590</v>
      </c>
      <c r="F25" s="4" t="s">
        <v>111</v>
      </c>
    </row>
    <row r="26" spans="1:6">
      <c r="A26" s="4" t="s">
        <v>540</v>
      </c>
      <c r="B26" s="4" t="s">
        <v>82</v>
      </c>
      <c r="C26" s="4" t="s">
        <v>597</v>
      </c>
      <c r="D26" s="4" t="s">
        <v>81</v>
      </c>
      <c r="E26" s="4" t="s">
        <v>8</v>
      </c>
      <c r="F26" s="4" t="s">
        <v>111</v>
      </c>
    </row>
    <row r="27" spans="1:6">
      <c r="A27" s="4" t="s">
        <v>540</v>
      </c>
      <c r="B27" s="4" t="s">
        <v>82</v>
      </c>
      <c r="C27" s="4" t="s">
        <v>598</v>
      </c>
      <c r="D27" s="4" t="s">
        <v>81</v>
      </c>
      <c r="E27" s="4" t="s">
        <v>568</v>
      </c>
      <c r="F27" s="4" t="s">
        <v>111</v>
      </c>
    </row>
    <row r="28" spans="1:6">
      <c r="A28" s="4" t="s">
        <v>443</v>
      </c>
      <c r="B28" s="4" t="s">
        <v>82</v>
      </c>
      <c r="C28" s="4" t="s">
        <v>599</v>
      </c>
      <c r="D28" s="4" t="s">
        <v>81</v>
      </c>
      <c r="E28" s="4" t="s">
        <v>33</v>
      </c>
      <c r="F28" s="4" t="s">
        <v>111</v>
      </c>
    </row>
    <row r="29" spans="1:6">
      <c r="A29" s="4" t="s">
        <v>443</v>
      </c>
      <c r="B29" s="4" t="s">
        <v>82</v>
      </c>
      <c r="C29" s="4" t="s">
        <v>600</v>
      </c>
      <c r="D29" s="4" t="s">
        <v>120</v>
      </c>
      <c r="E29" s="4" t="s">
        <v>33</v>
      </c>
      <c r="F29" s="4" t="s">
        <v>111</v>
      </c>
    </row>
  </sheetData>
  <mergeCells count="1">
    <mergeCell ref="A1:F1"/>
  </mergeCells>
  <conditionalFormatting sqref="F3:F29">
    <cfRule type="expression" dxfId="2" priority="1">
      <formula>F3="已完成"</formula>
    </cfRule>
    <cfRule type="expression" dxfId="3" priority="2">
      <formula>F3="阻塞"</formula>
    </cfRule>
  </conditionalFormatting>
  <dataValidations count="1">
    <dataValidation type="list" sqref="F3:F29">
      <formula1>"未开始,进行中,阻塞,已完成"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总览</vt:lpstr>
      <vt:lpstr>需求拆分</vt:lpstr>
      <vt:lpstr>6日排期</vt:lpstr>
      <vt:lpstr>P0 API</vt:lpstr>
      <vt:lpstr>上线检查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2026-09-03T02:31:00Z</dcterms:created>
  <dcterms:modified xsi:type="dcterms:W3CDTF">2026-09-03T10:51:39Z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2052-12.1.0.28032</vt:lpwstr>
  </property>
  <property fmtid="{D5CDD505-2E9C-101B-9397-08002B2CF9AE}" pid="3" name="CalculationRule">
    <vt:i4>0</vt:i4>
  </property>
  <property fmtid="{D5CDD505-2E9C-101B-9397-08002B2CF9AE}" pid="4" name="ICV">
    <vt:lpwstr>CD13D0D2C4274F04A559182597089CD0_12</vt:lpwstr>
  </property>
</Properties>
</file>